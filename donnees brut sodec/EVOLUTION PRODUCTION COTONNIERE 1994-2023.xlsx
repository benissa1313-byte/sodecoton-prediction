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<sst xmlns="http://schemas.openxmlformats.org/spreadsheetml/2006/main" count="40" uniqueCount="40">
  <si>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Campagnes</t>
  </si>
  <si>
    <t>Nb. Planteurs</t>
  </si>
  <si>
    <t>Surface (ha)</t>
  </si>
  <si>
    <t>Surf./ planteur (ha)</t>
  </si>
  <si>
    <t>Production (T)</t>
  </si>
  <si>
    <t>Rdt (Kg/ha)</t>
  </si>
  <si>
    <t>Prix moyen d'achat (FCFA/Kg)</t>
  </si>
  <si>
    <t>Crédit Total coton (FCFA)</t>
  </si>
  <si>
    <t>Crédit intrants coton/ha (FCFA)</t>
  </si>
  <si>
    <t>Marge brute/ha (FCFA)</t>
  </si>
  <si>
    <t xml:space="preserve"> MARI (FCFA)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</si>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</sst>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Arial Narrow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4" fontId="0" fillId="2" borderId="1" xfId="0" applyNumberForma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topLeftCell="A13" workbookViewId="0">
      <selection activeCell="F4" sqref="F4"/>
    </sheetView>
  </sheetViews>
  <sheetFormatPr defaultColWidth="11" defaultRowHeight="16.5"/>
  <cols>
    <col min="1" max="1" width="14.3714285714286" customWidth="1"/>
    <col min="7" max="7" width="18.5047619047619" customWidth="1"/>
    <col min="8" max="8" width="17.752380952381" customWidth="1"/>
    <col min="9" max="9" width="16.3714285714286" customWidth="1"/>
    <col min="10" max="10" width="16.5047619047619" customWidth="1"/>
  </cols>
  <sheetData>
    <row r="1" ht="45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4">
        <v>251942</v>
      </c>
      <c r="C2" s="4">
        <v>141061</v>
      </c>
      <c r="D2" s="5">
        <f t="shared" ref="D2:D30" si="0">C2/B2</f>
        <v>0.559894737677719</v>
      </c>
      <c r="E2" s="4">
        <v>165737</v>
      </c>
      <c r="F2" s="4">
        <f t="shared" ref="F2:F30" si="1">E2/C2*1000</f>
        <v>1174.93141265126</v>
      </c>
      <c r="G2" s="4">
        <v>154.1</v>
      </c>
      <c r="H2" s="4">
        <v>4642249700</v>
      </c>
      <c r="I2" s="4">
        <f t="shared" ref="I2:I30" si="2">H2/C2</f>
        <v>32909.5192859827</v>
      </c>
      <c r="J2" s="4">
        <f t="shared" ref="J2:J30" si="3">F2*G2</f>
        <v>181056.93068956</v>
      </c>
      <c r="K2" s="4">
        <f t="shared" ref="K2:K30" si="4">J2-I2</f>
        <v>148147.411403577</v>
      </c>
    </row>
    <row r="3" spans="1:11">
      <c r="A3" s="3" t="s">
        <v>12</v>
      </c>
      <c r="B3" s="4">
        <v>277483</v>
      </c>
      <c r="C3" s="4">
        <v>158816</v>
      </c>
      <c r="D3" s="5">
        <f t="shared" si="0"/>
        <v>0.572344972484801</v>
      </c>
      <c r="E3" s="4">
        <v>195214</v>
      </c>
      <c r="F3" s="4">
        <f t="shared" si="1"/>
        <v>1229.18345758614</v>
      </c>
      <c r="G3" s="4">
        <v>174.1</v>
      </c>
      <c r="H3" s="4">
        <v>6823019400</v>
      </c>
      <c r="I3" s="4">
        <f t="shared" si="2"/>
        <v>42961.7884847874</v>
      </c>
      <c r="J3" s="4">
        <f t="shared" si="3"/>
        <v>214000.839965747</v>
      </c>
      <c r="K3" s="4">
        <f t="shared" si="4"/>
        <v>171039.051480959</v>
      </c>
    </row>
    <row r="4" spans="1:11">
      <c r="A4" s="3" t="s">
        <v>13</v>
      </c>
      <c r="B4" s="4">
        <v>335975</v>
      </c>
      <c r="C4" s="4">
        <v>191031</v>
      </c>
      <c r="D4" s="5">
        <f t="shared" si="0"/>
        <v>0.568586948433663</v>
      </c>
      <c r="E4" s="4">
        <v>223101</v>
      </c>
      <c r="F4" s="4">
        <f t="shared" si="1"/>
        <v>1167.87851186457</v>
      </c>
      <c r="G4" s="4">
        <v>169.5</v>
      </c>
      <c r="H4" s="4">
        <v>8066255500</v>
      </c>
      <c r="I4" s="4">
        <f t="shared" si="2"/>
        <v>42224.8509404233</v>
      </c>
      <c r="J4" s="4">
        <f t="shared" si="3"/>
        <v>197955.407761044</v>
      </c>
      <c r="K4" s="4">
        <f t="shared" si="4"/>
        <v>155730.556820621</v>
      </c>
    </row>
    <row r="5" spans="1:11">
      <c r="A5" s="3" t="s">
        <v>14</v>
      </c>
      <c r="B5" s="4">
        <v>310000</v>
      </c>
      <c r="C5" s="4">
        <v>172246</v>
      </c>
      <c r="D5" s="5">
        <f t="shared" si="0"/>
        <v>0.555632258064516</v>
      </c>
      <c r="E5" s="4">
        <v>193332</v>
      </c>
      <c r="F5" s="4">
        <f t="shared" si="1"/>
        <v>1122.41793713642</v>
      </c>
      <c r="G5" s="4">
        <v>174.7</v>
      </c>
      <c r="H5" s="4">
        <v>9476144400</v>
      </c>
      <c r="I5" s="4">
        <f t="shared" si="2"/>
        <v>55015.1782915133</v>
      </c>
      <c r="J5" s="4">
        <f t="shared" si="3"/>
        <v>196086.413617733</v>
      </c>
      <c r="K5" s="4">
        <f t="shared" si="4"/>
        <v>141071.235326219</v>
      </c>
    </row>
    <row r="6" spans="1:11">
      <c r="A6" s="3" t="s">
        <v>15</v>
      </c>
      <c r="B6" s="4">
        <v>310062</v>
      </c>
      <c r="C6" s="4">
        <v>172519</v>
      </c>
      <c r="D6" s="5">
        <f t="shared" si="0"/>
        <v>0.556401622901226</v>
      </c>
      <c r="E6" s="4">
        <v>194575</v>
      </c>
      <c r="F6" s="4">
        <f t="shared" si="1"/>
        <v>1127.84678789003</v>
      </c>
      <c r="G6" s="4">
        <v>179.2</v>
      </c>
      <c r="H6" s="4">
        <v>9978584000</v>
      </c>
      <c r="I6" s="4">
        <f t="shared" si="2"/>
        <v>57840.4929312134</v>
      </c>
      <c r="J6" s="4">
        <f t="shared" si="3"/>
        <v>202110.144389893</v>
      </c>
      <c r="K6" s="4">
        <f t="shared" si="4"/>
        <v>144269.65145868</v>
      </c>
    </row>
    <row r="7" spans="1:11">
      <c r="A7" s="3" t="s">
        <v>16</v>
      </c>
      <c r="B7" s="4">
        <v>321994</v>
      </c>
      <c r="C7" s="4">
        <v>179574</v>
      </c>
      <c r="D7" s="5">
        <f t="shared" si="0"/>
        <v>0.557693621620279</v>
      </c>
      <c r="E7" s="4">
        <v>193239</v>
      </c>
      <c r="F7" s="4">
        <f t="shared" si="1"/>
        <v>1076.09676233753</v>
      </c>
      <c r="G7" s="4">
        <v>182</v>
      </c>
      <c r="H7" s="4">
        <v>10171618000</v>
      </c>
      <c r="I7" s="4">
        <f t="shared" si="2"/>
        <v>56643.0440932429</v>
      </c>
      <c r="J7" s="4">
        <f t="shared" si="3"/>
        <v>195849.610745431</v>
      </c>
      <c r="K7" s="4">
        <f t="shared" si="4"/>
        <v>139206.566652188</v>
      </c>
    </row>
    <row r="8" spans="1:11">
      <c r="A8" s="3" t="s">
        <v>17</v>
      </c>
      <c r="B8" s="4">
        <v>357736</v>
      </c>
      <c r="C8" s="4">
        <v>198559</v>
      </c>
      <c r="D8" s="5">
        <f t="shared" si="0"/>
        <v>0.555043383947939</v>
      </c>
      <c r="E8" s="4">
        <v>230932</v>
      </c>
      <c r="F8" s="4">
        <f t="shared" si="1"/>
        <v>1163.03970104604</v>
      </c>
      <c r="G8" s="4">
        <v>193.1</v>
      </c>
      <c r="H8" s="4">
        <v>12108923200</v>
      </c>
      <c r="I8" s="4">
        <f t="shared" si="2"/>
        <v>60984.0057615117</v>
      </c>
      <c r="J8" s="4">
        <f t="shared" si="3"/>
        <v>224582.96627199</v>
      </c>
      <c r="K8" s="4">
        <f t="shared" si="4"/>
        <v>163598.960510478</v>
      </c>
    </row>
    <row r="9" spans="1:11">
      <c r="A9" s="3" t="s">
        <v>18</v>
      </c>
      <c r="B9" s="4">
        <v>369000</v>
      </c>
      <c r="C9" s="4">
        <v>201576</v>
      </c>
      <c r="D9" s="5">
        <f t="shared" si="0"/>
        <v>0.546276422764228</v>
      </c>
      <c r="E9" s="4">
        <v>246070</v>
      </c>
      <c r="F9" s="4">
        <f t="shared" si="1"/>
        <v>1220.73064253681</v>
      </c>
      <c r="G9" s="4">
        <v>182.6</v>
      </c>
      <c r="H9" s="4">
        <v>14023169000</v>
      </c>
      <c r="I9" s="4">
        <f t="shared" si="2"/>
        <v>69567.6519030043</v>
      </c>
      <c r="J9" s="4">
        <f t="shared" si="3"/>
        <v>222905.415327221</v>
      </c>
      <c r="K9" s="4">
        <f t="shared" si="4"/>
        <v>153337.763424217</v>
      </c>
    </row>
    <row r="10" spans="1:11">
      <c r="A10" s="3" t="s">
        <v>19</v>
      </c>
      <c r="B10" s="4">
        <v>325857</v>
      </c>
      <c r="C10" s="4">
        <v>181811</v>
      </c>
      <c r="D10" s="5">
        <f t="shared" si="0"/>
        <v>0.557947197697149</v>
      </c>
      <c r="E10" s="4">
        <v>233803</v>
      </c>
      <c r="F10" s="4">
        <f t="shared" si="1"/>
        <v>1285.96729570818</v>
      </c>
      <c r="G10" s="4">
        <v>179</v>
      </c>
      <c r="H10" s="4">
        <v>12664407000</v>
      </c>
      <c r="I10" s="4">
        <f t="shared" si="2"/>
        <v>69656.9899511031</v>
      </c>
      <c r="J10" s="4">
        <f t="shared" si="3"/>
        <v>230188.145931764</v>
      </c>
      <c r="K10" s="4">
        <f t="shared" si="4"/>
        <v>160531.155980661</v>
      </c>
    </row>
    <row r="11" spans="1:11">
      <c r="A11" s="3" t="s">
        <v>20</v>
      </c>
      <c r="B11" s="4">
        <v>356593</v>
      </c>
      <c r="C11" s="4">
        <v>208204</v>
      </c>
      <c r="D11" s="5">
        <f t="shared" si="0"/>
        <v>0.583870126446677</v>
      </c>
      <c r="E11" s="4">
        <v>242819</v>
      </c>
      <c r="F11" s="4">
        <f t="shared" si="1"/>
        <v>1166.25521123513</v>
      </c>
      <c r="G11" s="4">
        <v>185</v>
      </c>
      <c r="H11" s="4">
        <v>13145934000</v>
      </c>
      <c r="I11" s="4">
        <f t="shared" si="2"/>
        <v>63139.6803135386</v>
      </c>
      <c r="J11" s="4">
        <f t="shared" si="3"/>
        <v>215757.2140785</v>
      </c>
      <c r="K11" s="4">
        <f t="shared" si="4"/>
        <v>152617.533764961</v>
      </c>
    </row>
    <row r="12" spans="1:11">
      <c r="A12" s="3" t="s">
        <v>21</v>
      </c>
      <c r="B12" s="4">
        <v>329555</v>
      </c>
      <c r="C12" s="4">
        <v>215027</v>
      </c>
      <c r="D12" s="5">
        <f t="shared" si="0"/>
        <v>0.652476824809212</v>
      </c>
      <c r="E12" s="4">
        <v>304053</v>
      </c>
      <c r="F12" s="4">
        <f t="shared" si="1"/>
        <v>1414.0224250908</v>
      </c>
      <c r="G12" s="4">
        <v>189</v>
      </c>
      <c r="H12" s="4">
        <v>16887469000</v>
      </c>
      <c r="I12" s="4">
        <f t="shared" si="2"/>
        <v>78536.5047180122</v>
      </c>
      <c r="J12" s="4">
        <f t="shared" si="3"/>
        <v>267250.238342162</v>
      </c>
      <c r="K12" s="4">
        <f t="shared" si="4"/>
        <v>188713.733624149</v>
      </c>
    </row>
    <row r="13" spans="1:11">
      <c r="A13" s="3" t="s">
        <v>22</v>
      </c>
      <c r="B13" s="4">
        <v>346660</v>
      </c>
      <c r="C13" s="4">
        <v>231993</v>
      </c>
      <c r="D13" s="5">
        <f t="shared" si="0"/>
        <v>0.669223446604742</v>
      </c>
      <c r="E13" s="4">
        <v>220839</v>
      </c>
      <c r="F13" s="4">
        <f t="shared" si="1"/>
        <v>951.920963132508</v>
      </c>
      <c r="G13" s="4">
        <v>172.3</v>
      </c>
      <c r="H13" s="4">
        <v>14048964700</v>
      </c>
      <c r="I13" s="4">
        <f t="shared" si="2"/>
        <v>60557.7094998556</v>
      </c>
      <c r="J13" s="4">
        <f t="shared" si="3"/>
        <v>164015.981947731</v>
      </c>
      <c r="K13" s="4">
        <f t="shared" si="4"/>
        <v>103458.272447876</v>
      </c>
    </row>
    <row r="14" spans="1:11">
      <c r="A14" s="3" t="s">
        <v>23</v>
      </c>
      <c r="B14" s="4">
        <v>319195</v>
      </c>
      <c r="C14" s="4">
        <v>203023</v>
      </c>
      <c r="D14" s="5">
        <f t="shared" si="0"/>
        <v>0.636046930559689</v>
      </c>
      <c r="E14" s="4">
        <v>187448</v>
      </c>
      <c r="F14" s="4">
        <f t="shared" si="1"/>
        <v>923.284553966792</v>
      </c>
      <c r="G14" s="4">
        <v>174.6</v>
      </c>
      <c r="H14" s="4">
        <v>16365740800</v>
      </c>
      <c r="I14" s="4">
        <f t="shared" si="2"/>
        <v>80610.2796234909</v>
      </c>
      <c r="J14" s="4">
        <f t="shared" si="3"/>
        <v>161205.483122602</v>
      </c>
      <c r="K14" s="4">
        <f t="shared" si="4"/>
        <v>80595.2034991109</v>
      </c>
    </row>
    <row r="15" spans="1:11">
      <c r="A15" s="3" t="s">
        <v>24</v>
      </c>
      <c r="B15" s="4">
        <v>207182</v>
      </c>
      <c r="C15" s="4">
        <v>137869</v>
      </c>
      <c r="D15" s="5">
        <f t="shared" si="0"/>
        <v>0.665448735894045</v>
      </c>
      <c r="E15" s="4">
        <v>116409</v>
      </c>
      <c r="F15" s="4">
        <f t="shared" si="1"/>
        <v>844.344994161124</v>
      </c>
      <c r="G15" s="4">
        <v>192.3</v>
      </c>
      <c r="H15" s="4">
        <v>12137450700</v>
      </c>
      <c r="I15" s="4">
        <f t="shared" si="2"/>
        <v>88036.1118162894</v>
      </c>
      <c r="J15" s="4">
        <f t="shared" si="3"/>
        <v>162367.542377184</v>
      </c>
      <c r="K15" s="4">
        <f t="shared" si="4"/>
        <v>74331.4305608947</v>
      </c>
    </row>
    <row r="16" spans="1:11">
      <c r="A16" s="3" t="s">
        <v>25</v>
      </c>
      <c r="B16" s="4">
        <v>232972</v>
      </c>
      <c r="C16" s="4">
        <v>147471</v>
      </c>
      <c r="D16" s="5">
        <f t="shared" si="0"/>
        <v>0.632998815308277</v>
      </c>
      <c r="E16" s="4">
        <v>146794</v>
      </c>
      <c r="F16" s="4">
        <f t="shared" si="1"/>
        <v>995.409266906714</v>
      </c>
      <c r="G16" s="4">
        <v>183.9</v>
      </c>
      <c r="H16" s="4">
        <v>14838073600</v>
      </c>
      <c r="I16" s="4">
        <f t="shared" si="2"/>
        <v>100616.891456625</v>
      </c>
      <c r="J16" s="4">
        <f t="shared" si="3"/>
        <v>183055.764184145</v>
      </c>
      <c r="K16" s="4">
        <f t="shared" si="4"/>
        <v>82438.8727275193</v>
      </c>
    </row>
    <row r="17" spans="1:11">
      <c r="A17" s="3" t="s">
        <v>26</v>
      </c>
      <c r="B17" s="4">
        <v>207153</v>
      </c>
      <c r="C17" s="4">
        <v>124734</v>
      </c>
      <c r="D17" s="5">
        <f t="shared" si="0"/>
        <v>0.602134654096248</v>
      </c>
      <c r="E17" s="4">
        <v>109777</v>
      </c>
      <c r="F17" s="4">
        <f t="shared" si="1"/>
        <v>880.088829028172</v>
      </c>
      <c r="G17" s="4">
        <v>191.1</v>
      </c>
      <c r="H17" s="4">
        <v>12295733700</v>
      </c>
      <c r="I17" s="4">
        <f t="shared" si="2"/>
        <v>98575.6385588532</v>
      </c>
      <c r="J17" s="4">
        <f t="shared" si="3"/>
        <v>168184.975227284</v>
      </c>
      <c r="K17" s="4">
        <f t="shared" si="4"/>
        <v>69609.3366684304</v>
      </c>
    </row>
    <row r="18" spans="1:11">
      <c r="A18" s="3" t="s">
        <v>27</v>
      </c>
      <c r="B18" s="4">
        <v>206123</v>
      </c>
      <c r="C18" s="4">
        <v>142913</v>
      </c>
      <c r="D18" s="5">
        <f t="shared" si="0"/>
        <v>0.693338443550695</v>
      </c>
      <c r="E18" s="4">
        <v>135969</v>
      </c>
      <c r="F18" s="4">
        <f t="shared" si="1"/>
        <v>951.410998299665</v>
      </c>
      <c r="G18" s="4">
        <v>211.4</v>
      </c>
      <c r="H18" s="4">
        <v>14952124485</v>
      </c>
      <c r="I18" s="4">
        <f t="shared" si="2"/>
        <v>104623.963425301</v>
      </c>
      <c r="J18" s="4">
        <f t="shared" si="3"/>
        <v>201128.285040549</v>
      </c>
      <c r="K18" s="4">
        <f t="shared" si="4"/>
        <v>96504.3216152484</v>
      </c>
    </row>
    <row r="19" spans="1:11">
      <c r="A19" s="3" t="s">
        <v>28</v>
      </c>
      <c r="B19" s="4">
        <v>165093</v>
      </c>
      <c r="C19" s="4">
        <v>148888</v>
      </c>
      <c r="D19" s="5">
        <f t="shared" si="0"/>
        <v>0.901843203527709</v>
      </c>
      <c r="E19" s="4">
        <v>185439</v>
      </c>
      <c r="F19" s="4">
        <f t="shared" si="1"/>
        <v>1245.49325667616</v>
      </c>
      <c r="G19" s="4">
        <v>267.4</v>
      </c>
      <c r="H19" s="4">
        <v>17739414000</v>
      </c>
      <c r="I19" s="4">
        <f t="shared" si="2"/>
        <v>119146.029230025</v>
      </c>
      <c r="J19" s="4">
        <f t="shared" si="3"/>
        <v>333044.896835205</v>
      </c>
      <c r="K19" s="4">
        <f t="shared" si="4"/>
        <v>213898.86760518</v>
      </c>
    </row>
    <row r="20" spans="1:11">
      <c r="A20" s="3" t="s">
        <v>29</v>
      </c>
      <c r="B20" s="4">
        <v>208776</v>
      </c>
      <c r="C20" s="4">
        <v>194528</v>
      </c>
      <c r="D20" s="5">
        <f t="shared" si="0"/>
        <v>0.931754607809327</v>
      </c>
      <c r="E20" s="4">
        <v>221114</v>
      </c>
      <c r="F20" s="4">
        <f t="shared" si="1"/>
        <v>1136.66927126172</v>
      </c>
      <c r="G20" s="4">
        <v>268.3</v>
      </c>
      <c r="H20" s="4">
        <v>25913282804</v>
      </c>
      <c r="I20" s="4">
        <f t="shared" si="2"/>
        <v>133211.068864122</v>
      </c>
      <c r="J20" s="4">
        <f t="shared" si="3"/>
        <v>304968.36547952</v>
      </c>
      <c r="K20" s="4">
        <f t="shared" si="4"/>
        <v>171757.296615397</v>
      </c>
    </row>
    <row r="21" spans="1:11">
      <c r="A21" s="3" t="s">
        <v>30</v>
      </c>
      <c r="B21" s="4">
        <v>226491</v>
      </c>
      <c r="C21" s="4">
        <v>207718</v>
      </c>
      <c r="D21" s="5">
        <f t="shared" si="0"/>
        <v>0.917113704297301</v>
      </c>
      <c r="E21" s="4">
        <v>245636</v>
      </c>
      <c r="F21" s="4">
        <f t="shared" si="1"/>
        <v>1182.54556658547</v>
      </c>
      <c r="G21" s="4">
        <v>268</v>
      </c>
      <c r="H21" s="4">
        <v>28590218888</v>
      </c>
      <c r="I21" s="4">
        <f t="shared" si="2"/>
        <v>137639.582934556</v>
      </c>
      <c r="J21" s="4">
        <f t="shared" si="3"/>
        <v>316922.211844905</v>
      </c>
      <c r="K21" s="4">
        <f t="shared" si="4"/>
        <v>179282.62891035</v>
      </c>
    </row>
    <row r="22" spans="1:11">
      <c r="A22" s="3" t="s">
        <v>31</v>
      </c>
      <c r="B22" s="4">
        <v>204413</v>
      </c>
      <c r="C22" s="4">
        <v>209930</v>
      </c>
      <c r="D22" s="5">
        <f t="shared" si="0"/>
        <v>1.02698947718589</v>
      </c>
      <c r="E22" s="4">
        <v>295142</v>
      </c>
      <c r="F22" s="4">
        <f t="shared" si="1"/>
        <v>1405.90673081503</v>
      </c>
      <c r="G22" s="4">
        <v>265</v>
      </c>
      <c r="H22" s="4">
        <v>29593328854</v>
      </c>
      <c r="I22" s="4">
        <f t="shared" si="2"/>
        <v>140967.602791407</v>
      </c>
      <c r="J22" s="4">
        <f t="shared" si="3"/>
        <v>372565.283665984</v>
      </c>
      <c r="K22" s="4">
        <f t="shared" si="4"/>
        <v>231597.680874577</v>
      </c>
    </row>
    <row r="23" spans="1:11">
      <c r="A23" s="3" t="s">
        <v>32</v>
      </c>
      <c r="B23" s="4">
        <v>201997</v>
      </c>
      <c r="C23" s="4">
        <v>202855</v>
      </c>
      <c r="D23" s="5">
        <f t="shared" si="0"/>
        <v>1.00424758783546</v>
      </c>
      <c r="E23" s="4">
        <v>248155</v>
      </c>
      <c r="F23" s="4">
        <f t="shared" si="1"/>
        <v>1223.31221808681</v>
      </c>
      <c r="G23" s="4">
        <v>265</v>
      </c>
      <c r="H23" s="4">
        <v>28828613000</v>
      </c>
      <c r="I23" s="4">
        <f t="shared" si="2"/>
        <v>142114.382194178</v>
      </c>
      <c r="J23" s="4">
        <f t="shared" si="3"/>
        <v>324177.737793005</v>
      </c>
      <c r="K23" s="4">
        <f t="shared" si="4"/>
        <v>182063.355598827</v>
      </c>
    </row>
    <row r="24" spans="1:11">
      <c r="A24" s="3" t="s">
        <v>33</v>
      </c>
      <c r="B24" s="4">
        <v>170416</v>
      </c>
      <c r="C24" s="4">
        <v>183871</v>
      </c>
      <c r="D24" s="5">
        <f t="shared" si="0"/>
        <v>1.07895385409821</v>
      </c>
      <c r="E24" s="4">
        <v>240219</v>
      </c>
      <c r="F24" s="4">
        <f t="shared" si="1"/>
        <v>1306.45398132386</v>
      </c>
      <c r="G24" s="3">
        <v>227</v>
      </c>
      <c r="H24" s="4">
        <v>25580592000</v>
      </c>
      <c r="I24" s="4">
        <f t="shared" si="2"/>
        <v>139122.493487282</v>
      </c>
      <c r="J24" s="4">
        <f t="shared" si="3"/>
        <v>296565.053760517</v>
      </c>
      <c r="K24" s="4">
        <f t="shared" si="4"/>
        <v>157442.560273235</v>
      </c>
    </row>
    <row r="25" spans="1:11">
      <c r="A25" s="3" t="s">
        <v>34</v>
      </c>
      <c r="B25" s="4">
        <v>152268</v>
      </c>
      <c r="C25" s="4">
        <v>182610</v>
      </c>
      <c r="D25" s="5">
        <f t="shared" si="0"/>
        <v>1.19926708172433</v>
      </c>
      <c r="E25" s="4">
        <v>254180</v>
      </c>
      <c r="F25" s="4">
        <f t="shared" si="1"/>
        <v>1391.92815289415</v>
      </c>
      <c r="G25" s="3">
        <v>245</v>
      </c>
      <c r="H25" s="4">
        <v>26133025000</v>
      </c>
      <c r="I25" s="4">
        <f t="shared" si="2"/>
        <v>143108.400416188</v>
      </c>
      <c r="J25" s="4">
        <f t="shared" si="3"/>
        <v>341022.397459066</v>
      </c>
      <c r="K25" s="4">
        <f t="shared" si="4"/>
        <v>197913.997042878</v>
      </c>
    </row>
    <row r="26" spans="1:11">
      <c r="A26" s="3" t="s">
        <v>35</v>
      </c>
      <c r="B26" s="4">
        <v>159401</v>
      </c>
      <c r="C26" s="4">
        <v>203651</v>
      </c>
      <c r="D26" s="5">
        <f t="shared" si="0"/>
        <v>1.27760177163255</v>
      </c>
      <c r="E26" s="4">
        <v>320060</v>
      </c>
      <c r="F26" s="4">
        <f t="shared" si="1"/>
        <v>1571.61025479865</v>
      </c>
      <c r="G26" s="3">
        <v>250</v>
      </c>
      <c r="H26" s="4">
        <v>30283154000</v>
      </c>
      <c r="I26" s="4">
        <f t="shared" si="2"/>
        <v>148701.229063447</v>
      </c>
      <c r="J26" s="4">
        <f t="shared" si="3"/>
        <v>392902.563699663</v>
      </c>
      <c r="K26" s="4">
        <f t="shared" si="4"/>
        <v>244201.334636216</v>
      </c>
    </row>
    <row r="27" spans="1:11">
      <c r="A27" s="3" t="s">
        <v>36</v>
      </c>
      <c r="B27" s="4">
        <v>177780</v>
      </c>
      <c r="C27" s="4">
        <v>222391</v>
      </c>
      <c r="D27" s="5">
        <f t="shared" si="0"/>
        <v>1.25093373832827</v>
      </c>
      <c r="E27" s="4">
        <v>326400</v>
      </c>
      <c r="F27" s="4">
        <f t="shared" si="1"/>
        <v>1467.68529301995</v>
      </c>
      <c r="G27" s="3">
        <v>255</v>
      </c>
      <c r="H27" s="4">
        <v>30735509000</v>
      </c>
      <c r="I27" s="4">
        <f t="shared" si="2"/>
        <v>138204.82393622</v>
      </c>
      <c r="J27" s="4">
        <f t="shared" si="3"/>
        <v>374259.749720088</v>
      </c>
      <c r="K27" s="4">
        <f t="shared" si="4"/>
        <v>236054.925783867</v>
      </c>
    </row>
    <row r="28" spans="1:11">
      <c r="A28" s="3" t="s">
        <v>37</v>
      </c>
      <c r="B28" s="4">
        <v>181986</v>
      </c>
      <c r="C28" s="4">
        <v>225833</v>
      </c>
      <c r="D28" s="5">
        <f t="shared" si="0"/>
        <v>1.24093611596496</v>
      </c>
      <c r="E28" s="4">
        <v>360764</v>
      </c>
      <c r="F28" s="4">
        <f t="shared" si="1"/>
        <v>1597.48132469568</v>
      </c>
      <c r="G28" s="3">
        <v>225</v>
      </c>
      <c r="H28" s="4">
        <v>31463000000</v>
      </c>
      <c r="I28" s="4">
        <f t="shared" si="2"/>
        <v>139319.762833598</v>
      </c>
      <c r="J28" s="4">
        <f t="shared" si="3"/>
        <v>359433.298056529</v>
      </c>
      <c r="K28" s="4">
        <f t="shared" si="4"/>
        <v>220113.53522293</v>
      </c>
    </row>
    <row r="29" spans="1:11">
      <c r="A29" s="3" t="s">
        <v>38</v>
      </c>
      <c r="B29" s="4">
        <v>161141</v>
      </c>
      <c r="C29" s="4">
        <v>231074</v>
      </c>
      <c r="D29" s="5">
        <f t="shared" si="0"/>
        <v>1.43398638459486</v>
      </c>
      <c r="E29" s="4">
        <v>369700</v>
      </c>
      <c r="F29" s="4">
        <f t="shared" si="1"/>
        <v>1599.92037182894</v>
      </c>
      <c r="G29" s="3">
        <v>250</v>
      </c>
      <c r="H29" s="4">
        <f>28131929069+2806169900</f>
        <v>30938098969</v>
      </c>
      <c r="I29" s="4">
        <f t="shared" si="2"/>
        <v>133888.273752131</v>
      </c>
      <c r="J29" s="4">
        <f t="shared" si="3"/>
        <v>399980.092957234</v>
      </c>
      <c r="K29" s="4">
        <f t="shared" si="4"/>
        <v>266091.819205103</v>
      </c>
    </row>
    <row r="30" spans="1:11">
      <c r="A30" s="6" t="s">
        <v>39</v>
      </c>
      <c r="B30" s="7">
        <v>155107</v>
      </c>
      <c r="C30" s="7">
        <v>231829</v>
      </c>
      <c r="D30" s="8">
        <f t="shared" si="0"/>
        <v>1.49463918456291</v>
      </c>
      <c r="E30" s="7">
        <v>314457</v>
      </c>
      <c r="F30" s="7">
        <f t="shared" si="1"/>
        <v>1356.41787696966</v>
      </c>
      <c r="G30" s="6">
        <v>285</v>
      </c>
      <c r="H30" s="7">
        <v>36293021245</v>
      </c>
      <c r="I30" s="7">
        <f t="shared" si="2"/>
        <v>156550.82515561</v>
      </c>
      <c r="J30" s="7">
        <f t="shared" si="3"/>
        <v>386579.094936354</v>
      </c>
      <c r="K30" s="7">
        <f t="shared" si="4"/>
        <v>230028.269780744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 Company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Adoum Oumarou</dc:creator>
  <cp:lastModifiedBy>SODECOTON</cp:lastModifiedBy>
  <dcterms:created xsi:type="dcterms:W3CDTF">2024-03-28T09:10:00Z</dcterms:created>
  <dcterms:modified xsi:type="dcterms:W3CDTF">2026-04-20T07:42:38Z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046EA67EEEF94C2584AB759F38E9412C_13</vt:lpwstr>
  </property>
  <property fmtid="{D5CDD505-2E9C-101B-9397-08002B2CF9AE}" pid="3" name="KSOProductBuildVer">
    <vt:lpwstr>1036-12.2.0.23196</vt:lpwstr>
  </property>
</Properties>
</file>