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firstSheet="1" activeTab="3"/>
  </bookViews>
  <sheets>
    <sheet name="IMPRIME" sheetId="1" state="hidden" r:id="rId1"/>
    <sheet name="FEVRIER" sheetId="13" r:id="rId2"/>
    <sheet name="MARS" sheetId="14" r:id="rId3"/>
    <sheet name="AVRIL" sheetId="4" r:id="rId4"/>
    <sheet name="MAI" sheetId="6" r:id="rId5"/>
    <sheet name="JUIN" sheetId="7" r:id="rId6"/>
    <sheet name="JUILLET" sheetId="8" r:id="rId7"/>
    <sheet name="AOÛT" sheetId="9" r:id="rId8"/>
    <sheet name="SEPTEMBRE" sheetId="10" r:id="rId9"/>
    <sheet name="OCTOBRE" sheetId="11" r:id="rId10"/>
    <sheet name="NOVEMBRE" sheetId="12" r:id="rId11"/>
  </sheets>
  <definedNames>
    <definedName name="_xlnm._FilterDatabase" localSheetId="9" hidden="1">OCTOBRE!$A$7:$A$17</definedName>
    <definedName name="_xlnm.Print_Area" localSheetId="7">AOÛT!$A$1:$AH$17</definedName>
    <definedName name="_xlnm.Print_Area" localSheetId="3">AVRIL!$A$1:$AH$17</definedName>
    <definedName name="_xlnm.Print_Area" localSheetId="1">FEVRIER!$A$1:$AH$17</definedName>
    <definedName name="_xlnm.Print_Area" localSheetId="0">IMPRIME!$A$1:$AG$16</definedName>
    <definedName name="_xlnm.Print_Area" localSheetId="6">JUILLET!$A$1:$AH$17</definedName>
    <definedName name="_xlnm.Print_Area" localSheetId="5">JUIN!$A$1:$AH$17</definedName>
    <definedName name="_xlnm.Print_Area" localSheetId="4">MAI!$A$1:$AH$17</definedName>
    <definedName name="_xlnm.Print_Area" localSheetId="2">MARS!$A$1:$AH$17</definedName>
    <definedName name="_xlnm.Print_Area" localSheetId="10">NOVEMBRE!$A$1:$AH$17</definedName>
    <definedName name="_xlnm.Print_Area" localSheetId="9">OCTOBRE!$A$1:$AH$17</definedName>
    <definedName name="_xlnm.Print_Area" localSheetId="8">SEPTEMBRE!$A$1:$AH$17</definedName>
  </definedNames>
  <calcPr calcId="144525"/>
</workbook>
</file>

<file path=xl/sharedStrings.xml><?xml version="1.0" encoding="utf-8"?>
<sst xmlns="http://schemas.openxmlformats.org/spreadsheetml/2006/main" count="174" uniqueCount="28">
  <si>
    <t>SODECOTON</t>
  </si>
  <si>
    <t>PLUVIOMETRIE JOURNALIERE ET MENSUELLE</t>
  </si>
  <si>
    <r>
      <rPr>
        <b/>
        <sz val="12"/>
        <color theme="1"/>
        <rFont val="Calibri"/>
        <charset val="134"/>
        <scheme val="minor"/>
      </rPr>
      <t>MOIS DE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:_________________________________________</t>
    </r>
  </si>
  <si>
    <t>STATION</t>
  </si>
  <si>
    <t>TOTAUX</t>
  </si>
  <si>
    <t>MAROUA</t>
  </si>
  <si>
    <t>KAELE</t>
  </si>
  <si>
    <t>TCHATIBALI</t>
  </si>
  <si>
    <t>GUIDER</t>
  </si>
  <si>
    <t>GAROUA</t>
  </si>
  <si>
    <t>NGONG</t>
  </si>
  <si>
    <t>MAYO-GALKE</t>
  </si>
  <si>
    <t>TOUBOURO</t>
  </si>
  <si>
    <t>HOME</t>
  </si>
  <si>
    <t>MOIS DE FEVRIER 2019</t>
  </si>
  <si>
    <t>CUMUL</t>
  </si>
  <si>
    <t>POLI</t>
  </si>
  <si>
    <t>M-GALKE</t>
  </si>
  <si>
    <t>TOUBORO</t>
  </si>
  <si>
    <t>MOIS DE MARS 2019</t>
  </si>
  <si>
    <t>MOIS D'AVRIL 2019</t>
  </si>
  <si>
    <t>MOIS DE MAI 2019</t>
  </si>
  <si>
    <t>MOIS DE JUIN 2019</t>
  </si>
  <si>
    <t>MOIS DE JUILLET 2019</t>
  </si>
  <si>
    <t>MOIS D'AOÛT 2019</t>
  </si>
  <si>
    <t>MOIS DE SEPTEMBRE 2019</t>
  </si>
  <si>
    <t>MOIS D'OCTOBRE 2019</t>
  </si>
  <si>
    <t>MOIS DE NOVEMBRE 2019</t>
  </si>
</sst>
</file>

<file path=xl/styles.xml><?xml version="1.0" encoding="utf-8"?>
<styleSheet xmlns="http://schemas.openxmlformats.org/spreadsheetml/2006/main">
  <numFmts count="4">
    <numFmt numFmtId="176" formatCode="_-&quot;€&quot;* #,##0_-;\-&quot;€&quot;* #,##0_-;_-&quot;€&quot;* \-_-;_-@_-"/>
    <numFmt numFmtId="43" formatCode="_-* #,##0.00_-;\-* #,##0.00_-;_-* &quot;-&quot;??_-;_-@_-"/>
    <numFmt numFmtId="41" formatCode="_-* #,##0_-;\-* #,##0_-;_-* &quot;-&quot;_-;_-@_-"/>
    <numFmt numFmtId="177" formatCode="_-&quot;€&quot;* #,##0.00_-;\-&quot;€&quot;* #,##0.00_-;_-&quot;€&quot;* \-??_-;_-@_-"/>
  </numFmts>
  <fonts count="29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Berlin Sans FB Demi"/>
      <charset val="134"/>
    </font>
    <font>
      <b/>
      <u/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AdelonSerial"/>
      <charset val="134"/>
    </font>
    <font>
      <b/>
      <sz val="11"/>
      <color theme="1"/>
      <name val="Calibri"/>
      <charset val="134"/>
      <scheme val="minor"/>
    </font>
    <font>
      <b/>
      <sz val="9"/>
      <color theme="1"/>
      <name val="AdelonSe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6" fillId="22" borderId="4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9" fillId="3" borderId="2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0" xfId="0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"/>
  <sheetViews>
    <sheetView workbookViewId="0">
      <selection activeCell="AB8" sqref="AB8"/>
    </sheetView>
  </sheetViews>
  <sheetFormatPr defaultColWidth="11" defaultRowHeight="15"/>
  <cols>
    <col min="1" max="1" width="12" customWidth="1"/>
    <col min="2" max="32" width="3.71428571428571" customWidth="1"/>
    <col min="33" max="33" width="8.85714285714286" customWidth="1"/>
  </cols>
  <sheetData>
    <row r="1" ht="17.25" spans="1:1">
      <c r="A1" s="1" t="s">
        <v>0</v>
      </c>
    </row>
    <row r="3" ht="15.75" spans="1: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5" ht="15.75" spans="1:33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7" spans="1:33">
      <c r="A7" s="7" t="s">
        <v>3</v>
      </c>
      <c r="B7" s="13">
        <v>1</v>
      </c>
      <c r="C7" s="13">
        <v>2</v>
      </c>
      <c r="D7" s="13">
        <v>3</v>
      </c>
      <c r="E7" s="13">
        <v>4</v>
      </c>
      <c r="F7" s="13">
        <v>5</v>
      </c>
      <c r="G7" s="13">
        <v>6</v>
      </c>
      <c r="H7" s="13">
        <v>7</v>
      </c>
      <c r="I7" s="13">
        <v>8</v>
      </c>
      <c r="J7" s="13">
        <v>9</v>
      </c>
      <c r="K7" s="13">
        <v>10</v>
      </c>
      <c r="L7" s="13">
        <v>11</v>
      </c>
      <c r="M7" s="13">
        <v>12</v>
      </c>
      <c r="N7" s="13">
        <v>13</v>
      </c>
      <c r="O7" s="13">
        <v>14</v>
      </c>
      <c r="P7" s="13">
        <v>15</v>
      </c>
      <c r="Q7" s="13">
        <v>16</v>
      </c>
      <c r="R7" s="13">
        <v>17</v>
      </c>
      <c r="S7" s="13">
        <v>18</v>
      </c>
      <c r="T7" s="13">
        <v>19</v>
      </c>
      <c r="U7" s="13">
        <v>20</v>
      </c>
      <c r="V7" s="13">
        <v>21</v>
      </c>
      <c r="W7" s="13">
        <v>22</v>
      </c>
      <c r="X7" s="13">
        <v>23</v>
      </c>
      <c r="Y7" s="13">
        <v>24</v>
      </c>
      <c r="Z7" s="13">
        <v>25</v>
      </c>
      <c r="AA7" s="13">
        <v>26</v>
      </c>
      <c r="AB7" s="13">
        <v>27</v>
      </c>
      <c r="AC7" s="13">
        <v>28</v>
      </c>
      <c r="AD7" s="13">
        <v>29</v>
      </c>
      <c r="AE7" s="13">
        <v>30</v>
      </c>
      <c r="AF7" s="13">
        <v>31</v>
      </c>
      <c r="AG7" s="13" t="s">
        <v>4</v>
      </c>
    </row>
    <row r="8" ht="25.35" customHeight="1" spans="1:3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5.35" customHeight="1" spans="1:33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5.35" customHeight="1" spans="1:33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25.35" customHeight="1" spans="1:33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25.35" customHeight="1" spans="1:33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25.35" customHeight="1" spans="1:33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25.35" customHeight="1" spans="1:33">
      <c r="A14" s="7" t="s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25.35" customHeight="1" spans="1:33">
      <c r="A15" s="7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25.35" customHeight="1" spans="1:33">
      <c r="A16" s="7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</sheetData>
  <mergeCells count="2">
    <mergeCell ref="A3:AG3"/>
    <mergeCell ref="A5:AG5"/>
  </mergeCells>
  <pageMargins left="0.511811023622047" right="0.511811023622047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2" customWidth="1"/>
    <col min="2" max="10" width="2.14285714285714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>
        <v>0</v>
      </c>
      <c r="Z8" s="8">
        <v>0</v>
      </c>
      <c r="AA8" s="8"/>
      <c r="AB8" s="8"/>
      <c r="AC8" s="8"/>
      <c r="AD8" s="8"/>
      <c r="AE8" s="8"/>
      <c r="AF8" s="8"/>
      <c r="AG8" s="10">
        <f>SUM(B8:AF8)</f>
        <v>0</v>
      </c>
      <c r="AH8" s="10">
        <f>AG8</f>
        <v>0</v>
      </c>
    </row>
    <row r="9" ht="25.35" customHeight="1" spans="1:34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>
        <v>0</v>
      </c>
      <c r="Z9" s="8">
        <v>0</v>
      </c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 t="shared" ref="AH9:AH17" si="1">AG9</f>
        <v>0</v>
      </c>
    </row>
    <row r="10" ht="25.35" customHeight="1" spans="1:34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>
        <v>2</v>
      </c>
      <c r="Z10" s="8">
        <v>0</v>
      </c>
      <c r="AA10" s="8"/>
      <c r="AB10" s="8"/>
      <c r="AC10" s="8"/>
      <c r="AD10" s="8"/>
      <c r="AE10" s="8"/>
      <c r="AF10" s="8"/>
      <c r="AG10" s="10">
        <f t="shared" si="0"/>
        <v>2</v>
      </c>
      <c r="AH10" s="10">
        <f t="shared" si="1"/>
        <v>2</v>
      </c>
    </row>
    <row r="11" ht="25.35" customHeight="1" spans="1:34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3</v>
      </c>
      <c r="Z11" s="8">
        <v>0</v>
      </c>
      <c r="AA11" s="8"/>
      <c r="AB11" s="8"/>
      <c r="AC11" s="8"/>
      <c r="AD11" s="8"/>
      <c r="AE11" s="8"/>
      <c r="AF11" s="8"/>
      <c r="AG11" s="10">
        <f t="shared" si="0"/>
        <v>3</v>
      </c>
      <c r="AH11" s="10">
        <f t="shared" si="1"/>
        <v>3</v>
      </c>
    </row>
    <row r="12" ht="25.35" customHeight="1" spans="1:34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>
        <v>0</v>
      </c>
      <c r="Z12" s="8">
        <v>0</v>
      </c>
      <c r="AA12" s="8"/>
      <c r="AB12" s="8"/>
      <c r="AC12" s="8"/>
      <c r="AD12" s="8"/>
      <c r="AE12" s="8"/>
      <c r="AF12" s="8"/>
      <c r="AG12" s="10">
        <f t="shared" si="0"/>
        <v>0</v>
      </c>
      <c r="AH12" s="10">
        <f t="shared" si="1"/>
        <v>0</v>
      </c>
    </row>
    <row r="13" ht="25.35" customHeight="1" spans="1:34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>
        <v>0</v>
      </c>
      <c r="Z13" s="8">
        <v>0</v>
      </c>
      <c r="AA13" s="8"/>
      <c r="AB13" s="8"/>
      <c r="AC13" s="8"/>
      <c r="AD13" s="8"/>
      <c r="AE13" s="8"/>
      <c r="AF13" s="8"/>
      <c r="AG13" s="10">
        <f t="shared" si="0"/>
        <v>0</v>
      </c>
      <c r="AH13" s="10">
        <f t="shared" si="1"/>
        <v>0</v>
      </c>
    </row>
    <row r="14" ht="25.35" customHeight="1" spans="1:34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>
        <v>25</v>
      </c>
      <c r="Z14" s="8">
        <v>0</v>
      </c>
      <c r="AA14" s="8"/>
      <c r="AB14" s="8"/>
      <c r="AC14" s="8"/>
      <c r="AD14" s="8"/>
      <c r="AE14" s="8"/>
      <c r="AF14" s="8"/>
      <c r="AG14" s="10">
        <f t="shared" ref="AG14" si="2">SUM(B14:AF14)</f>
        <v>25</v>
      </c>
      <c r="AH14" s="10">
        <f t="shared" ref="AH14" si="3">AG14</f>
        <v>25</v>
      </c>
    </row>
    <row r="15" ht="25.35" customHeight="1" spans="1:34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>
        <v>30</v>
      </c>
      <c r="Z15" s="8">
        <v>0</v>
      </c>
      <c r="AA15" s="8"/>
      <c r="AB15" s="8"/>
      <c r="AC15" s="8"/>
      <c r="AD15" s="8"/>
      <c r="AE15" s="8"/>
      <c r="AF15" s="8"/>
      <c r="AG15" s="10">
        <f t="shared" si="0"/>
        <v>30</v>
      </c>
      <c r="AH15" s="10">
        <f t="shared" si="1"/>
        <v>30</v>
      </c>
    </row>
    <row r="16" ht="25.35" customHeight="1" spans="1:34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>
        <v>4</v>
      </c>
      <c r="Z16" s="8">
        <v>3</v>
      </c>
      <c r="AA16" s="8"/>
      <c r="AB16" s="8"/>
      <c r="AC16" s="8"/>
      <c r="AD16" s="8"/>
      <c r="AE16" s="8"/>
      <c r="AF16" s="8"/>
      <c r="AG16" s="10">
        <f t="shared" si="0"/>
        <v>7</v>
      </c>
      <c r="AH16" s="10">
        <f t="shared" si="1"/>
        <v>7</v>
      </c>
    </row>
    <row r="17" ht="25.35" customHeight="1" spans="1:34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>
        <v>25</v>
      </c>
      <c r="Z17" s="8">
        <v>16</v>
      </c>
      <c r="AA17" s="8"/>
      <c r="AB17" s="8"/>
      <c r="AC17" s="8"/>
      <c r="AD17" s="8"/>
      <c r="AE17" s="8"/>
      <c r="AF17" s="8"/>
      <c r="AG17" s="10">
        <f t="shared" si="0"/>
        <v>41</v>
      </c>
      <c r="AH17" s="10">
        <f t="shared" si="1"/>
        <v>41</v>
      </c>
    </row>
  </sheetData>
  <mergeCells count="2">
    <mergeCell ref="A3:AH3"/>
    <mergeCell ref="A5:AH5"/>
  </mergeCells>
  <printOptions horizontalCentered="1"/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2" customWidth="1"/>
    <col min="2" max="10" width="2.14285714285714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0">
        <f>SUM(B8:AF8)</f>
        <v>0</v>
      </c>
      <c r="AH8" s="10">
        <f>FEVRIER!AH8+AG8</f>
        <v>0</v>
      </c>
    </row>
    <row r="9" ht="25.35" customHeight="1" spans="1:34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>FEVRIER!AH9+AG9</f>
        <v>0</v>
      </c>
    </row>
    <row r="10" ht="25.35" customHeight="1" spans="1:34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0">
        <f t="shared" si="0"/>
        <v>0</v>
      </c>
      <c r="AH10" s="10">
        <f>FEVRIER!AH10+AG10</f>
        <v>2</v>
      </c>
    </row>
    <row r="11" ht="25.35" customHeight="1" spans="1:34">
      <c r="A11" s="7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0">
        <f t="shared" si="0"/>
        <v>0</v>
      </c>
      <c r="AH11" s="10">
        <f>FEVRIER!AH11+AG11</f>
        <v>3</v>
      </c>
    </row>
    <row r="12" ht="25.35" customHeight="1" spans="1:34">
      <c r="A12" s="7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0">
        <f t="shared" si="0"/>
        <v>0</v>
      </c>
      <c r="AH12" s="10">
        <f>FEVRIER!AH12+AG12</f>
        <v>0</v>
      </c>
    </row>
    <row r="13" ht="25.35" customHeight="1" spans="1:34">
      <c r="A13" s="7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0">
        <f t="shared" si="0"/>
        <v>0</v>
      </c>
      <c r="AH13" s="10">
        <f>FEVRIER!AH13+AG13</f>
        <v>0</v>
      </c>
    </row>
    <row r="14" ht="25.35" customHeight="1" spans="1:34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>
        <f t="shared" si="0"/>
        <v>0</v>
      </c>
      <c r="AH14" s="10">
        <f>FEVRIER!AH14+AG14</f>
        <v>25</v>
      </c>
    </row>
    <row r="15" ht="25.35" customHeight="1" spans="1:34">
      <c r="A15" s="7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0">
        <f t="shared" si="0"/>
        <v>0</v>
      </c>
      <c r="AH15" s="10">
        <f>FEVRIER!AH15+AG15</f>
        <v>30</v>
      </c>
    </row>
    <row r="16" ht="25.35" customHeight="1" spans="1:34">
      <c r="A16" s="7" t="s">
        <v>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0">
        <f t="shared" si="0"/>
        <v>0</v>
      </c>
      <c r="AH16" s="10">
        <f>FEVRIER!AH16+AG16</f>
        <v>7</v>
      </c>
    </row>
    <row r="17" ht="25.35" customHeight="1" spans="1:34">
      <c r="A17" s="7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>
        <f t="shared" si="0"/>
        <v>0</v>
      </c>
      <c r="AH17" s="10">
        <f>FEVRIER!AH17+AG17</f>
        <v>41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"/>
  <sheetViews>
    <sheetView tabSelected="1" topLeftCell="A5" workbookViewId="0">
      <selection activeCell="AB8" sqref="AB8"/>
    </sheetView>
  </sheetViews>
  <sheetFormatPr defaultColWidth="11" defaultRowHeight="15"/>
  <cols>
    <col min="1" max="1" width="12" customWidth="1"/>
    <col min="2" max="6" width="2.14285714285714" customWidth="1"/>
    <col min="7" max="7" width="3" customWidth="1"/>
    <col min="8" max="8" width="2.14285714285714" customWidth="1"/>
    <col min="9" max="9" width="3" customWidth="1"/>
    <col min="10" max="10" width="2.14285714285714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/>
      <c r="C8" s="8"/>
      <c r="D8" s="8"/>
      <c r="E8" s="8">
        <v>0</v>
      </c>
      <c r="F8" s="8"/>
      <c r="G8" s="8"/>
      <c r="H8" s="8"/>
      <c r="I8" s="8"/>
      <c r="J8" s="8"/>
      <c r="K8" s="8"/>
      <c r="L8" s="8"/>
      <c r="M8" s="8"/>
      <c r="N8" s="8">
        <v>5</v>
      </c>
      <c r="O8" s="8">
        <v>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>
        <v>0</v>
      </c>
      <c r="AF8" s="8"/>
      <c r="AG8" s="10">
        <f>SUM(B8:AF8)</f>
        <v>5</v>
      </c>
      <c r="AH8" s="10">
        <f>MARS!AH8+AG8</f>
        <v>5</v>
      </c>
    </row>
    <row r="9" ht="25.35" customHeight="1" spans="1:34">
      <c r="A9" s="7" t="s">
        <v>6</v>
      </c>
      <c r="B9" s="8"/>
      <c r="C9" s="8"/>
      <c r="D9" s="8"/>
      <c r="E9" s="8">
        <v>0</v>
      </c>
      <c r="F9" s="8"/>
      <c r="G9" s="8"/>
      <c r="H9" s="8"/>
      <c r="I9" s="8"/>
      <c r="J9" s="8"/>
      <c r="K9" s="8"/>
      <c r="L9" s="8"/>
      <c r="M9" s="8"/>
      <c r="N9" s="8"/>
      <c r="O9" s="8">
        <v>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>
        <v>0</v>
      </c>
      <c r="AF9" s="8"/>
      <c r="AG9" s="10">
        <f t="shared" ref="AG9:AG17" si="0">SUM(B9:AF9)</f>
        <v>0</v>
      </c>
      <c r="AH9" s="10">
        <f>MARS!AH9+AG9</f>
        <v>0</v>
      </c>
    </row>
    <row r="10" ht="25.35" customHeight="1" spans="1:34">
      <c r="A10" s="7" t="s">
        <v>7</v>
      </c>
      <c r="B10" s="8"/>
      <c r="C10" s="8"/>
      <c r="D10" s="8"/>
      <c r="E10" s="8">
        <v>0</v>
      </c>
      <c r="F10" s="8"/>
      <c r="G10" s="8"/>
      <c r="H10" s="8"/>
      <c r="I10" s="8"/>
      <c r="J10" s="8"/>
      <c r="K10" s="8"/>
      <c r="L10" s="8"/>
      <c r="M10" s="8"/>
      <c r="N10" s="8"/>
      <c r="O10" s="8">
        <v>0</v>
      </c>
      <c r="P10" s="8"/>
      <c r="Q10" s="8"/>
      <c r="R10" s="8"/>
      <c r="S10" s="8"/>
      <c r="T10" s="8"/>
      <c r="U10" s="8"/>
      <c r="V10" s="8"/>
      <c r="W10" s="8"/>
      <c r="X10" s="8"/>
      <c r="Y10" s="8">
        <v>2</v>
      </c>
      <c r="Z10" s="8"/>
      <c r="AA10" s="8"/>
      <c r="AB10" s="8"/>
      <c r="AC10" s="8"/>
      <c r="AD10" s="8"/>
      <c r="AE10" s="8">
        <v>1</v>
      </c>
      <c r="AF10" s="8"/>
      <c r="AG10" s="10">
        <f t="shared" si="0"/>
        <v>3</v>
      </c>
      <c r="AH10" s="10">
        <f>MARS!AH10+AG10</f>
        <v>5</v>
      </c>
    </row>
    <row r="11" ht="25.35" customHeight="1" spans="1:34">
      <c r="A11" s="7" t="s">
        <v>8</v>
      </c>
      <c r="B11" s="8"/>
      <c r="C11" s="8"/>
      <c r="D11" s="8"/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>
        <v>0</v>
      </c>
      <c r="P11" s="8"/>
      <c r="Q11" s="8"/>
      <c r="R11" s="8"/>
      <c r="S11" s="8"/>
      <c r="T11" s="8"/>
      <c r="U11" s="8"/>
      <c r="V11" s="8"/>
      <c r="W11" s="8">
        <v>3</v>
      </c>
      <c r="X11" s="8"/>
      <c r="Y11" s="8"/>
      <c r="Z11" s="8"/>
      <c r="AA11" s="8"/>
      <c r="AB11" s="8"/>
      <c r="AC11" s="8"/>
      <c r="AD11" s="8"/>
      <c r="AE11" s="8">
        <v>0</v>
      </c>
      <c r="AF11" s="8"/>
      <c r="AG11" s="10">
        <f t="shared" si="0"/>
        <v>3</v>
      </c>
      <c r="AH11" s="10">
        <f>MARS!AH11+AG11</f>
        <v>6</v>
      </c>
    </row>
    <row r="12" ht="25.35" customHeight="1" spans="1:34">
      <c r="A12" s="7" t="s">
        <v>9</v>
      </c>
      <c r="B12" s="8"/>
      <c r="C12" s="8"/>
      <c r="D12" s="8"/>
      <c r="E12" s="8">
        <v>0</v>
      </c>
      <c r="F12" s="8"/>
      <c r="G12" s="8"/>
      <c r="H12" s="8"/>
      <c r="I12" s="8"/>
      <c r="J12" s="8"/>
      <c r="K12" s="8"/>
      <c r="L12" s="8"/>
      <c r="M12" s="8"/>
      <c r="N12" s="8">
        <v>2</v>
      </c>
      <c r="O12" s="8">
        <v>0</v>
      </c>
      <c r="P12" s="8">
        <v>20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>
        <v>1</v>
      </c>
      <c r="AF12" s="8"/>
      <c r="AG12" s="10">
        <f t="shared" si="0"/>
        <v>23</v>
      </c>
      <c r="AH12" s="10">
        <f>MARS!AH12+AG12</f>
        <v>23</v>
      </c>
    </row>
    <row r="13" ht="25.35" customHeight="1" spans="1:34">
      <c r="A13" s="7" t="s">
        <v>10</v>
      </c>
      <c r="B13" s="8"/>
      <c r="C13" s="8"/>
      <c r="D13" s="8"/>
      <c r="E13" s="8">
        <v>0</v>
      </c>
      <c r="F13" s="8"/>
      <c r="G13" s="8"/>
      <c r="H13" s="8"/>
      <c r="I13" s="8"/>
      <c r="J13" s="8"/>
      <c r="K13" s="8"/>
      <c r="L13" s="8"/>
      <c r="M13" s="8"/>
      <c r="N13" s="8">
        <v>25</v>
      </c>
      <c r="O13" s="8">
        <v>0</v>
      </c>
      <c r="P13" s="8">
        <v>11</v>
      </c>
      <c r="Q13" s="8"/>
      <c r="R13" s="8"/>
      <c r="S13" s="8"/>
      <c r="T13" s="8"/>
      <c r="U13" s="8"/>
      <c r="V13" s="8"/>
      <c r="W13" s="8"/>
      <c r="X13" s="8"/>
      <c r="Y13" s="8">
        <v>11</v>
      </c>
      <c r="Z13" s="8"/>
      <c r="AA13" s="8"/>
      <c r="AB13" s="8"/>
      <c r="AC13" s="8"/>
      <c r="AD13" s="8"/>
      <c r="AE13" s="8">
        <v>1</v>
      </c>
      <c r="AF13" s="8"/>
      <c r="AG13" s="10">
        <f t="shared" si="0"/>
        <v>48</v>
      </c>
      <c r="AH13" s="10">
        <f>MARS!AH13+AG13</f>
        <v>48</v>
      </c>
    </row>
    <row r="14" ht="25.35" customHeight="1" spans="1:34">
      <c r="A14" s="7" t="s">
        <v>16</v>
      </c>
      <c r="B14" s="8"/>
      <c r="C14" s="8"/>
      <c r="D14" s="8"/>
      <c r="E14" s="8">
        <v>0</v>
      </c>
      <c r="F14" s="8"/>
      <c r="G14" s="8">
        <v>12</v>
      </c>
      <c r="H14" s="8"/>
      <c r="I14" s="8">
        <v>14</v>
      </c>
      <c r="J14" s="8"/>
      <c r="K14" s="8"/>
      <c r="L14" s="8"/>
      <c r="M14" s="8"/>
      <c r="N14" s="8">
        <v>13</v>
      </c>
      <c r="O14" s="8">
        <v>2</v>
      </c>
      <c r="P14" s="8">
        <v>4</v>
      </c>
      <c r="Q14" s="8"/>
      <c r="R14" s="8"/>
      <c r="S14" s="8"/>
      <c r="T14" s="8"/>
      <c r="U14" s="8"/>
      <c r="V14" s="8">
        <v>10</v>
      </c>
      <c r="W14" s="8">
        <v>22</v>
      </c>
      <c r="X14" s="8">
        <v>4</v>
      </c>
      <c r="Y14" s="8"/>
      <c r="Z14" s="8"/>
      <c r="AA14" s="8"/>
      <c r="AB14" s="8"/>
      <c r="AC14" s="8"/>
      <c r="AD14" s="8"/>
      <c r="AE14" s="8">
        <v>0</v>
      </c>
      <c r="AF14" s="8"/>
      <c r="AG14" s="10">
        <f t="shared" ref="AG14" si="1">SUM(B14:AF14)</f>
        <v>81</v>
      </c>
      <c r="AH14" s="10">
        <f>MARS!AH14+AG14</f>
        <v>106</v>
      </c>
    </row>
    <row r="15" ht="25.35" customHeight="1" spans="1:34">
      <c r="A15" s="7" t="s">
        <v>17</v>
      </c>
      <c r="B15" s="8"/>
      <c r="C15" s="8"/>
      <c r="D15" s="8"/>
      <c r="E15" s="8">
        <v>0</v>
      </c>
      <c r="F15" s="8"/>
      <c r="G15" s="8"/>
      <c r="H15" s="8"/>
      <c r="I15" s="8"/>
      <c r="J15" s="8"/>
      <c r="K15" s="8"/>
      <c r="L15" s="8"/>
      <c r="M15" s="8"/>
      <c r="N15" s="8"/>
      <c r="O15" s="8">
        <v>0</v>
      </c>
      <c r="P15" s="8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>
        <v>10</v>
      </c>
      <c r="AF15" s="8"/>
      <c r="AG15" s="10">
        <f t="shared" si="0"/>
        <v>21</v>
      </c>
      <c r="AH15" s="10">
        <f>MARS!AH15+AG15</f>
        <v>51</v>
      </c>
    </row>
    <row r="16" ht="25.35" customHeight="1" spans="1:34">
      <c r="A16" s="7" t="s">
        <v>18</v>
      </c>
      <c r="B16" s="8"/>
      <c r="C16" s="8"/>
      <c r="D16" s="8"/>
      <c r="E16" s="8">
        <v>2</v>
      </c>
      <c r="F16" s="8"/>
      <c r="G16" s="8">
        <v>2</v>
      </c>
      <c r="H16" s="8"/>
      <c r="I16" s="8">
        <v>2</v>
      </c>
      <c r="J16" s="8">
        <v>2</v>
      </c>
      <c r="K16" s="8"/>
      <c r="L16" s="8"/>
      <c r="M16" s="8"/>
      <c r="N16" s="8"/>
      <c r="O16" s="8">
        <v>0</v>
      </c>
      <c r="P16" s="8">
        <v>2</v>
      </c>
      <c r="Q16" s="8">
        <v>5</v>
      </c>
      <c r="R16" s="8"/>
      <c r="S16" s="8"/>
      <c r="T16" s="8"/>
      <c r="U16" s="8"/>
      <c r="V16" s="8"/>
      <c r="W16" s="8"/>
      <c r="X16" s="8"/>
      <c r="Y16" s="8">
        <v>9</v>
      </c>
      <c r="Z16" s="8"/>
      <c r="AA16" s="8"/>
      <c r="AB16" s="8"/>
      <c r="AC16" s="8"/>
      <c r="AD16" s="8"/>
      <c r="AE16" s="8">
        <v>6</v>
      </c>
      <c r="AF16" s="8"/>
      <c r="AG16" s="10">
        <f t="shared" si="0"/>
        <v>30</v>
      </c>
      <c r="AH16" s="10">
        <f>MARS!AH16+AG16</f>
        <v>37</v>
      </c>
    </row>
    <row r="17" ht="25.35" customHeight="1" spans="1:34">
      <c r="A17" s="7" t="s">
        <v>13</v>
      </c>
      <c r="B17" s="8"/>
      <c r="C17" s="8"/>
      <c r="D17" s="8"/>
      <c r="E17" s="8">
        <v>2</v>
      </c>
      <c r="F17" s="8"/>
      <c r="G17" s="8">
        <v>2</v>
      </c>
      <c r="H17" s="8">
        <v>4</v>
      </c>
      <c r="I17" s="8">
        <v>6</v>
      </c>
      <c r="J17" s="8">
        <v>6</v>
      </c>
      <c r="K17" s="8"/>
      <c r="L17" s="8"/>
      <c r="M17" s="8"/>
      <c r="N17" s="8">
        <v>6</v>
      </c>
      <c r="O17" s="8">
        <v>0</v>
      </c>
      <c r="P17" s="8">
        <v>56</v>
      </c>
      <c r="Q17" s="8">
        <v>1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>
        <v>7</v>
      </c>
      <c r="AF17" s="8"/>
      <c r="AG17" s="10">
        <f t="shared" si="0"/>
        <v>90</v>
      </c>
      <c r="AH17" s="10">
        <f>MARS!AH17+AG17</f>
        <v>131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5.1428571428571" customWidth="1"/>
    <col min="2" max="2" width="2.14285714285714" customWidth="1"/>
    <col min="3" max="4" width="3" customWidth="1"/>
    <col min="5" max="8" width="2.14285714285714" customWidth="1"/>
    <col min="9" max="10" width="3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20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21</v>
      </c>
      <c r="K8" s="8">
        <v>0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9</v>
      </c>
      <c r="T8" s="8">
        <v>2</v>
      </c>
      <c r="U8" s="8">
        <v>32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7</v>
      </c>
      <c r="AB8" s="8">
        <v>0</v>
      </c>
      <c r="AC8" s="8">
        <v>0</v>
      </c>
      <c r="AD8" s="8">
        <v>24</v>
      </c>
      <c r="AE8" s="8">
        <v>0</v>
      </c>
      <c r="AF8" s="8">
        <v>0</v>
      </c>
      <c r="AG8" s="10">
        <f>SUM(B8:AF8)</f>
        <v>116</v>
      </c>
      <c r="AH8" s="10">
        <f>AVRIL!AH8+AG8</f>
        <v>121</v>
      </c>
    </row>
    <row r="9" ht="25.35" customHeight="1" spans="1:34">
      <c r="A9" s="7" t="s">
        <v>6</v>
      </c>
      <c r="B9" s="8">
        <v>0</v>
      </c>
      <c r="C9" s="8">
        <v>7</v>
      </c>
      <c r="D9" s="8">
        <v>1</v>
      </c>
      <c r="E9" s="8">
        <v>0</v>
      </c>
      <c r="F9" s="8">
        <v>0</v>
      </c>
      <c r="G9" s="8">
        <v>0</v>
      </c>
      <c r="H9" s="8">
        <v>2</v>
      </c>
      <c r="I9" s="8">
        <v>0</v>
      </c>
      <c r="J9" s="8">
        <v>7</v>
      </c>
      <c r="K9" s="8">
        <v>0</v>
      </c>
      <c r="L9" s="8">
        <v>5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26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33</v>
      </c>
      <c r="AB9" s="8">
        <v>0</v>
      </c>
      <c r="AC9" s="8">
        <v>0</v>
      </c>
      <c r="AD9" s="8">
        <v>10</v>
      </c>
      <c r="AE9" s="8">
        <v>0</v>
      </c>
      <c r="AF9" s="8">
        <v>0</v>
      </c>
      <c r="AG9" s="10">
        <f t="shared" ref="AG9:AG17" si="0">SUM(B9:AF9)</f>
        <v>92</v>
      </c>
      <c r="AH9" s="10">
        <f>AVRIL!AH9+AG9</f>
        <v>92</v>
      </c>
    </row>
    <row r="10" ht="25.35" customHeight="1" spans="1:34">
      <c r="A10" s="7" t="s">
        <v>7</v>
      </c>
      <c r="B10" s="8">
        <v>0</v>
      </c>
      <c r="C10" s="8">
        <v>1</v>
      </c>
      <c r="D10" s="8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</v>
      </c>
      <c r="K10" s="8">
        <v>0</v>
      </c>
      <c r="L10" s="8">
        <v>17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27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</v>
      </c>
      <c r="AB10" s="8">
        <v>0</v>
      </c>
      <c r="AC10" s="8">
        <v>0</v>
      </c>
      <c r="AD10" s="8">
        <v>15</v>
      </c>
      <c r="AE10" s="8">
        <v>2</v>
      </c>
      <c r="AF10" s="8">
        <v>0</v>
      </c>
      <c r="AG10" s="10">
        <f t="shared" si="0"/>
        <v>73</v>
      </c>
      <c r="AH10" s="10">
        <f>AVRIL!AH10+AG10</f>
        <v>78</v>
      </c>
    </row>
    <row r="11" ht="25.35" customHeight="1" spans="1:34">
      <c r="A11" s="7" t="s">
        <v>8</v>
      </c>
      <c r="B11" s="8">
        <v>0</v>
      </c>
      <c r="C11" s="8">
        <v>16</v>
      </c>
      <c r="D11" s="8">
        <v>2</v>
      </c>
      <c r="E11" s="8">
        <v>0</v>
      </c>
      <c r="F11" s="8">
        <v>0</v>
      </c>
      <c r="G11" s="8">
        <v>0</v>
      </c>
      <c r="H11" s="8">
        <v>2</v>
      </c>
      <c r="I11" s="8">
        <v>0</v>
      </c>
      <c r="J11" s="8">
        <v>3</v>
      </c>
      <c r="K11" s="8">
        <v>0</v>
      </c>
      <c r="L11" s="8">
        <v>1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10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50</v>
      </c>
      <c r="AB11" s="8">
        <v>0</v>
      </c>
      <c r="AC11" s="8">
        <v>0</v>
      </c>
      <c r="AD11" s="8">
        <v>14</v>
      </c>
      <c r="AE11" s="8">
        <v>0</v>
      </c>
      <c r="AF11" s="8">
        <v>0</v>
      </c>
      <c r="AG11" s="10">
        <f t="shared" si="0"/>
        <v>99</v>
      </c>
      <c r="AH11" s="10">
        <f>AVRIL!AH11+AG11</f>
        <v>105</v>
      </c>
    </row>
    <row r="12" ht="25.35" customHeight="1" spans="1:34">
      <c r="A12" s="7" t="s">
        <v>9</v>
      </c>
      <c r="B12" s="8">
        <v>0</v>
      </c>
      <c r="C12" s="8">
        <v>0</v>
      </c>
      <c r="D12" s="8">
        <v>3</v>
      </c>
      <c r="E12" s="8">
        <v>0</v>
      </c>
      <c r="F12" s="8">
        <v>0</v>
      </c>
      <c r="G12" s="8">
        <v>3</v>
      </c>
      <c r="H12" s="8">
        <v>0</v>
      </c>
      <c r="I12" s="8">
        <v>10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6</v>
      </c>
      <c r="T12" s="8">
        <v>0</v>
      </c>
      <c r="U12" s="8">
        <v>8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7</v>
      </c>
      <c r="AB12" s="8">
        <v>0</v>
      </c>
      <c r="AC12" s="8">
        <v>0</v>
      </c>
      <c r="AD12" s="8">
        <v>35</v>
      </c>
      <c r="AE12" s="8">
        <v>0</v>
      </c>
      <c r="AF12" s="8">
        <v>0</v>
      </c>
      <c r="AG12" s="10">
        <f t="shared" si="0"/>
        <v>74</v>
      </c>
      <c r="AH12" s="10">
        <f>AVRIL!AH12+AG12</f>
        <v>97</v>
      </c>
    </row>
    <row r="13" ht="25.35" customHeight="1" spans="1:34">
      <c r="A13" s="7" t="s">
        <v>10</v>
      </c>
      <c r="B13" s="8">
        <v>0</v>
      </c>
      <c r="C13" s="8">
        <v>0</v>
      </c>
      <c r="D13" s="8">
        <v>6</v>
      </c>
      <c r="E13" s="8">
        <v>0</v>
      </c>
      <c r="F13" s="8">
        <v>0</v>
      </c>
      <c r="G13" s="8">
        <v>0</v>
      </c>
      <c r="H13" s="8">
        <v>0</v>
      </c>
      <c r="I13" s="8">
        <v>4</v>
      </c>
      <c r="J13" s="8">
        <v>5</v>
      </c>
      <c r="K13" s="8">
        <v>1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28</v>
      </c>
      <c r="R13" s="8">
        <v>0</v>
      </c>
      <c r="S13" s="8">
        <v>0</v>
      </c>
      <c r="T13" s="8">
        <v>0</v>
      </c>
      <c r="U13" s="8">
        <v>18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2</v>
      </c>
      <c r="AB13" s="8">
        <v>0</v>
      </c>
      <c r="AC13" s="8">
        <v>0</v>
      </c>
      <c r="AD13" s="8">
        <v>30</v>
      </c>
      <c r="AE13" s="8">
        <v>0</v>
      </c>
      <c r="AF13" s="8">
        <v>0</v>
      </c>
      <c r="AG13" s="10">
        <f t="shared" si="0"/>
        <v>95</v>
      </c>
      <c r="AH13" s="10">
        <f>AVRIL!AH13+AG13</f>
        <v>143</v>
      </c>
    </row>
    <row r="14" ht="25.35" customHeight="1" spans="1:34">
      <c r="A14" s="7" t="s">
        <v>16</v>
      </c>
      <c r="B14" s="8">
        <v>5</v>
      </c>
      <c r="C14" s="8">
        <v>0</v>
      </c>
      <c r="D14" s="8">
        <v>5</v>
      </c>
      <c r="E14" s="8">
        <v>0</v>
      </c>
      <c r="F14" s="8">
        <v>5</v>
      </c>
      <c r="G14" s="8">
        <v>9</v>
      </c>
      <c r="H14" s="8">
        <v>0</v>
      </c>
      <c r="I14" s="8">
        <v>6</v>
      </c>
      <c r="J14" s="8">
        <v>0</v>
      </c>
      <c r="K14" s="8">
        <v>0</v>
      </c>
      <c r="L14" s="8">
        <v>40</v>
      </c>
      <c r="M14" s="8">
        <v>0</v>
      </c>
      <c r="N14" s="8">
        <v>0</v>
      </c>
      <c r="O14" s="8">
        <v>0</v>
      </c>
      <c r="P14" s="8">
        <v>3</v>
      </c>
      <c r="Q14" s="8">
        <v>15</v>
      </c>
      <c r="R14" s="8">
        <v>0</v>
      </c>
      <c r="S14" s="8">
        <v>0</v>
      </c>
      <c r="T14" s="8">
        <v>0</v>
      </c>
      <c r="U14" s="8">
        <v>29</v>
      </c>
      <c r="V14" s="8">
        <v>0</v>
      </c>
      <c r="W14" s="8">
        <v>0</v>
      </c>
      <c r="X14" s="8">
        <v>0</v>
      </c>
      <c r="Y14" s="8">
        <v>0</v>
      </c>
      <c r="Z14" s="8">
        <v>31</v>
      </c>
      <c r="AA14" s="8">
        <v>0</v>
      </c>
      <c r="AB14" s="8">
        <v>0</v>
      </c>
      <c r="AC14" s="8">
        <v>6</v>
      </c>
      <c r="AD14" s="8">
        <v>48</v>
      </c>
      <c r="AE14" s="8">
        <v>15</v>
      </c>
      <c r="AF14" s="8">
        <v>1</v>
      </c>
      <c r="AG14" s="10">
        <f t="shared" ref="AG14" si="1">SUM(B14:AF14)</f>
        <v>218</v>
      </c>
      <c r="AH14" s="10">
        <f>AVRIL!AH14+AG14</f>
        <v>324</v>
      </c>
    </row>
    <row r="15" ht="25.35" customHeight="1" spans="1:34">
      <c r="A15" s="7" t="s">
        <v>17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6</v>
      </c>
      <c r="H15" s="8">
        <v>0</v>
      </c>
      <c r="I15" s="8">
        <v>24</v>
      </c>
      <c r="J15" s="8">
        <v>0</v>
      </c>
      <c r="K15" s="8">
        <v>4</v>
      </c>
      <c r="L15" s="8">
        <v>11</v>
      </c>
      <c r="M15" s="8">
        <v>0</v>
      </c>
      <c r="N15" s="8">
        <v>0</v>
      </c>
      <c r="O15" s="8">
        <v>0</v>
      </c>
      <c r="P15" s="8">
        <v>35</v>
      </c>
      <c r="Q15" s="8">
        <v>0</v>
      </c>
      <c r="R15" s="8">
        <v>0</v>
      </c>
      <c r="S15" s="8">
        <v>0</v>
      </c>
      <c r="T15" s="8">
        <v>0</v>
      </c>
      <c r="U15" s="8">
        <v>36</v>
      </c>
      <c r="V15" s="8">
        <v>0</v>
      </c>
      <c r="W15" s="8">
        <v>0</v>
      </c>
      <c r="X15" s="8">
        <v>0</v>
      </c>
      <c r="Y15" s="8">
        <v>7</v>
      </c>
      <c r="Z15" s="8">
        <v>32</v>
      </c>
      <c r="AA15" s="8">
        <v>26</v>
      </c>
      <c r="AB15" s="8">
        <v>0</v>
      </c>
      <c r="AC15" s="8">
        <v>0</v>
      </c>
      <c r="AD15" s="8">
        <v>21</v>
      </c>
      <c r="AE15" s="8">
        <v>0</v>
      </c>
      <c r="AF15" s="8">
        <v>0</v>
      </c>
      <c r="AG15" s="10">
        <f t="shared" si="0"/>
        <v>202</v>
      </c>
      <c r="AH15" s="10">
        <f>AVRIL!AH15+AG15</f>
        <v>253</v>
      </c>
    </row>
    <row r="16" ht="25.35" customHeight="1" spans="1:34">
      <c r="A16" s="7" t="s">
        <v>18</v>
      </c>
      <c r="B16" s="8">
        <v>0</v>
      </c>
      <c r="C16" s="8">
        <v>0</v>
      </c>
      <c r="D16" s="8">
        <v>62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11</v>
      </c>
      <c r="K16" s="8">
        <v>0</v>
      </c>
      <c r="L16" s="8">
        <v>40</v>
      </c>
      <c r="M16" s="8">
        <v>2</v>
      </c>
      <c r="N16" s="8">
        <v>10</v>
      </c>
      <c r="O16" s="8">
        <v>0</v>
      </c>
      <c r="P16" s="8">
        <v>6</v>
      </c>
      <c r="Q16" s="8">
        <v>1</v>
      </c>
      <c r="R16" s="8">
        <v>0</v>
      </c>
      <c r="S16" s="8">
        <v>0</v>
      </c>
      <c r="T16" s="8">
        <v>0</v>
      </c>
      <c r="U16" s="8">
        <v>12</v>
      </c>
      <c r="V16" s="8">
        <v>0</v>
      </c>
      <c r="W16" s="8">
        <v>0</v>
      </c>
      <c r="X16" s="8">
        <v>0</v>
      </c>
      <c r="Y16" s="8">
        <v>6</v>
      </c>
      <c r="Z16" s="8">
        <v>9</v>
      </c>
      <c r="AA16" s="8">
        <v>0</v>
      </c>
      <c r="AB16" s="8">
        <v>0</v>
      </c>
      <c r="AC16" s="8">
        <v>0</v>
      </c>
      <c r="AD16" s="8">
        <v>4</v>
      </c>
      <c r="AE16" s="8">
        <v>4</v>
      </c>
      <c r="AF16" s="8">
        <v>2</v>
      </c>
      <c r="AG16" s="10">
        <f t="shared" si="0"/>
        <v>169</v>
      </c>
      <c r="AH16" s="10">
        <f>AVRIL!AH16+AG16</f>
        <v>206</v>
      </c>
    </row>
    <row r="17" ht="25.35" customHeight="1" spans="1:34">
      <c r="A17" s="7" t="s">
        <v>13</v>
      </c>
      <c r="B17" s="8">
        <v>0</v>
      </c>
      <c r="C17" s="8">
        <v>10</v>
      </c>
      <c r="D17" s="8">
        <v>35</v>
      </c>
      <c r="E17" s="8">
        <v>0</v>
      </c>
      <c r="F17" s="8">
        <v>0</v>
      </c>
      <c r="G17" s="8">
        <v>1</v>
      </c>
      <c r="H17" s="8">
        <v>0</v>
      </c>
      <c r="I17" s="8">
        <v>0</v>
      </c>
      <c r="J17" s="8">
        <v>0</v>
      </c>
      <c r="K17" s="8">
        <v>9</v>
      </c>
      <c r="L17" s="8">
        <v>75</v>
      </c>
      <c r="M17" s="8">
        <v>1</v>
      </c>
      <c r="N17" s="8">
        <v>25</v>
      </c>
      <c r="O17" s="8">
        <v>0</v>
      </c>
      <c r="P17" s="8">
        <v>10</v>
      </c>
      <c r="Q17" s="8">
        <v>0</v>
      </c>
      <c r="R17" s="8">
        <v>6</v>
      </c>
      <c r="S17" s="8">
        <v>0</v>
      </c>
      <c r="T17" s="8">
        <v>0</v>
      </c>
      <c r="U17" s="8">
        <v>18</v>
      </c>
      <c r="V17" s="8">
        <v>4</v>
      </c>
      <c r="W17" s="8">
        <v>10</v>
      </c>
      <c r="X17" s="8">
        <v>0</v>
      </c>
      <c r="Y17" s="8">
        <v>0</v>
      </c>
      <c r="Z17" s="8">
        <v>48</v>
      </c>
      <c r="AA17" s="8">
        <v>0</v>
      </c>
      <c r="AB17" s="8">
        <v>0</v>
      </c>
      <c r="AC17" s="8">
        <v>0</v>
      </c>
      <c r="AD17" s="8">
        <v>24</v>
      </c>
      <c r="AE17" s="8">
        <v>42</v>
      </c>
      <c r="AF17" s="8">
        <v>2</v>
      </c>
      <c r="AG17" s="10">
        <f t="shared" si="0"/>
        <v>320</v>
      </c>
      <c r="AH17" s="10">
        <f>AVRIL!AH17+AG17</f>
        <v>451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0" customWidth="1"/>
    <col min="2" max="2" width="2.14285714285714" customWidth="1"/>
    <col min="3" max="6" width="3" customWidth="1"/>
    <col min="7" max="7" width="2.14285714285714" customWidth="1"/>
    <col min="8" max="10" width="3" customWidth="1"/>
    <col min="11" max="23" width="3.28571428571429" customWidth="1"/>
    <col min="24" max="24" width="4" customWidth="1"/>
    <col min="25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0</v>
      </c>
      <c r="F8" s="8">
        <v>11</v>
      </c>
      <c r="G8" s="8">
        <v>7</v>
      </c>
      <c r="H8" s="8">
        <v>6</v>
      </c>
      <c r="I8" s="8">
        <v>0</v>
      </c>
      <c r="J8" s="8">
        <v>4</v>
      </c>
      <c r="K8" s="8">
        <v>0</v>
      </c>
      <c r="L8" s="8">
        <v>5</v>
      </c>
      <c r="M8" s="8">
        <v>0</v>
      </c>
      <c r="N8" s="8">
        <v>10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10</v>
      </c>
      <c r="Y8" s="8">
        <v>0</v>
      </c>
      <c r="Z8" s="8">
        <v>10</v>
      </c>
      <c r="AA8" s="8">
        <v>0</v>
      </c>
      <c r="AB8" s="8">
        <v>2</v>
      </c>
      <c r="AC8" s="8">
        <v>0</v>
      </c>
      <c r="AD8" s="8">
        <v>0</v>
      </c>
      <c r="AE8" s="8">
        <v>0</v>
      </c>
      <c r="AF8" s="8">
        <v>0</v>
      </c>
      <c r="AG8" s="10">
        <f>SUM(B8:AF8)</f>
        <v>65</v>
      </c>
      <c r="AH8" s="10">
        <f>MAI!AH8+AG8</f>
        <v>186</v>
      </c>
    </row>
    <row r="9" ht="25.35" customHeight="1" spans="1:34">
      <c r="A9" s="7" t="s">
        <v>6</v>
      </c>
      <c r="B9" s="8">
        <v>0</v>
      </c>
      <c r="C9" s="8">
        <v>0</v>
      </c>
      <c r="D9" s="8">
        <v>0</v>
      </c>
      <c r="E9" s="8">
        <v>0</v>
      </c>
      <c r="F9" s="8">
        <v>11</v>
      </c>
      <c r="G9" s="8">
        <v>3</v>
      </c>
      <c r="H9" s="8">
        <v>18</v>
      </c>
      <c r="I9" s="8">
        <v>0</v>
      </c>
      <c r="J9" s="8">
        <v>8</v>
      </c>
      <c r="K9" s="8">
        <v>0</v>
      </c>
      <c r="L9" s="8">
        <v>7</v>
      </c>
      <c r="M9" s="8">
        <v>0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18</v>
      </c>
      <c r="Y9" s="8">
        <v>0</v>
      </c>
      <c r="Z9" s="8">
        <v>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0">
        <f t="shared" ref="AG9:AG17" si="0">SUM(B9:AF9)</f>
        <v>120</v>
      </c>
      <c r="AH9" s="10">
        <f>MAI!AH9+AG9</f>
        <v>212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0</v>
      </c>
      <c r="F10" s="8">
        <v>2</v>
      </c>
      <c r="G10" s="8">
        <v>5</v>
      </c>
      <c r="H10" s="8">
        <v>8</v>
      </c>
      <c r="I10" s="8">
        <v>0</v>
      </c>
      <c r="J10" s="8">
        <v>70</v>
      </c>
      <c r="K10" s="8">
        <v>0</v>
      </c>
      <c r="L10" s="8">
        <v>41</v>
      </c>
      <c r="M10" s="8">
        <v>0</v>
      </c>
      <c r="N10" s="8">
        <v>2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45</v>
      </c>
      <c r="Y10" s="8">
        <v>0</v>
      </c>
      <c r="Z10" s="8">
        <v>10</v>
      </c>
      <c r="AA10" s="8">
        <v>0</v>
      </c>
      <c r="AB10" s="8">
        <v>2</v>
      </c>
      <c r="AC10" s="8">
        <v>0</v>
      </c>
      <c r="AD10" s="8">
        <v>0</v>
      </c>
      <c r="AE10" s="8">
        <v>39</v>
      </c>
      <c r="AF10" s="8">
        <v>0</v>
      </c>
      <c r="AG10" s="10">
        <f t="shared" si="0"/>
        <v>224</v>
      </c>
      <c r="AH10" s="10">
        <f>MAI!AH10+AG10</f>
        <v>302</v>
      </c>
    </row>
    <row r="11" ht="25.35" customHeight="1" spans="1:34">
      <c r="A11" s="7" t="s">
        <v>8</v>
      </c>
      <c r="B11" s="8">
        <v>4</v>
      </c>
      <c r="C11" s="8">
        <v>0</v>
      </c>
      <c r="D11" s="8">
        <v>0</v>
      </c>
      <c r="E11" s="8">
        <v>0</v>
      </c>
      <c r="F11" s="8">
        <v>9</v>
      </c>
      <c r="G11" s="8">
        <v>0</v>
      </c>
      <c r="H11" s="8">
        <v>44</v>
      </c>
      <c r="I11" s="8">
        <v>0</v>
      </c>
      <c r="J11" s="8">
        <v>8</v>
      </c>
      <c r="K11" s="8">
        <v>0</v>
      </c>
      <c r="L11" s="8">
        <v>23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13</v>
      </c>
      <c r="Y11" s="8">
        <v>0</v>
      </c>
      <c r="Z11" s="8">
        <v>47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0">
        <f t="shared" si="0"/>
        <v>148</v>
      </c>
      <c r="AH11" s="10">
        <f>MAI!AH11+AG11</f>
        <v>253</v>
      </c>
    </row>
    <row r="12" ht="25.35" customHeight="1" spans="1:34">
      <c r="A12" s="7" t="s">
        <v>9</v>
      </c>
      <c r="B12" s="8">
        <v>1</v>
      </c>
      <c r="C12" s="8">
        <v>21</v>
      </c>
      <c r="D12" s="8">
        <v>0</v>
      </c>
      <c r="E12" s="8">
        <v>0</v>
      </c>
      <c r="F12" s="8">
        <v>50</v>
      </c>
      <c r="G12" s="8">
        <v>0</v>
      </c>
      <c r="H12" s="8">
        <v>8</v>
      </c>
      <c r="I12" s="8">
        <v>0</v>
      </c>
      <c r="J12" s="8">
        <v>0</v>
      </c>
      <c r="K12" s="8">
        <v>35</v>
      </c>
      <c r="L12" s="8">
        <v>30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</v>
      </c>
      <c r="U12" s="8">
        <v>0</v>
      </c>
      <c r="V12" s="8">
        <v>5</v>
      </c>
      <c r="W12" s="8">
        <v>0</v>
      </c>
      <c r="X12" s="8">
        <v>60</v>
      </c>
      <c r="Y12" s="8">
        <v>0</v>
      </c>
      <c r="Z12" s="8">
        <v>20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0">
        <f t="shared" si="0"/>
        <v>234</v>
      </c>
      <c r="AH12" s="10">
        <f>MAI!AH12+AG12</f>
        <v>331</v>
      </c>
    </row>
    <row r="13" ht="25.35" customHeight="1" spans="1:34">
      <c r="A13" s="7" t="s">
        <v>10</v>
      </c>
      <c r="B13" s="8">
        <v>0</v>
      </c>
      <c r="C13" s="8">
        <v>0</v>
      </c>
      <c r="D13" s="8">
        <v>0</v>
      </c>
      <c r="E13" s="8">
        <v>0</v>
      </c>
      <c r="F13" s="8">
        <v>6</v>
      </c>
      <c r="G13" s="8">
        <v>0</v>
      </c>
      <c r="H13" s="8">
        <v>53</v>
      </c>
      <c r="I13" s="8">
        <v>0</v>
      </c>
      <c r="J13" s="8">
        <v>0</v>
      </c>
      <c r="K13" s="8">
        <v>0</v>
      </c>
      <c r="L13" s="8">
        <v>2</v>
      </c>
      <c r="M13" s="8">
        <v>0</v>
      </c>
      <c r="N13" s="8">
        <v>9</v>
      </c>
      <c r="O13" s="8">
        <v>0</v>
      </c>
      <c r="P13" s="8">
        <v>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70</v>
      </c>
      <c r="W13" s="8">
        <v>0</v>
      </c>
      <c r="X13" s="8">
        <v>24</v>
      </c>
      <c r="Y13" s="8">
        <v>0</v>
      </c>
      <c r="Z13" s="8">
        <v>6</v>
      </c>
      <c r="AA13" s="8">
        <v>0</v>
      </c>
      <c r="AB13" s="8">
        <v>0</v>
      </c>
      <c r="AC13" s="8">
        <v>0</v>
      </c>
      <c r="AD13" s="8">
        <v>0</v>
      </c>
      <c r="AE13" s="8">
        <v>23</v>
      </c>
      <c r="AF13" s="8">
        <v>0</v>
      </c>
      <c r="AG13" s="10">
        <f t="shared" si="0"/>
        <v>195</v>
      </c>
      <c r="AH13" s="10">
        <f>MAI!AH13+AG13</f>
        <v>338</v>
      </c>
    </row>
    <row r="14" ht="25.35" customHeight="1" spans="1:34">
      <c r="A14" s="7" t="s">
        <v>16</v>
      </c>
      <c r="B14" s="8">
        <v>0</v>
      </c>
      <c r="C14" s="8">
        <v>26</v>
      </c>
      <c r="D14" s="8">
        <v>0</v>
      </c>
      <c r="E14" s="8">
        <v>0</v>
      </c>
      <c r="F14" s="8">
        <v>14</v>
      </c>
      <c r="G14" s="8">
        <v>0</v>
      </c>
      <c r="H14" s="8">
        <v>0</v>
      </c>
      <c r="I14" s="8">
        <v>19</v>
      </c>
      <c r="J14" s="8">
        <v>0</v>
      </c>
      <c r="K14" s="8">
        <v>14</v>
      </c>
      <c r="L14" s="8">
        <v>7</v>
      </c>
      <c r="M14" s="8">
        <v>0</v>
      </c>
      <c r="N14" s="8">
        <v>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11</v>
      </c>
      <c r="U14" s="8">
        <v>0</v>
      </c>
      <c r="V14" s="8">
        <v>13</v>
      </c>
      <c r="W14" s="8">
        <v>0</v>
      </c>
      <c r="X14" s="8">
        <v>112</v>
      </c>
      <c r="Y14" s="8">
        <v>0</v>
      </c>
      <c r="Z14" s="8">
        <v>5</v>
      </c>
      <c r="AA14" s="8">
        <v>0</v>
      </c>
      <c r="AB14" s="8">
        <v>19</v>
      </c>
      <c r="AC14" s="8">
        <v>0</v>
      </c>
      <c r="AD14" s="8">
        <v>0</v>
      </c>
      <c r="AE14" s="8">
        <v>0</v>
      </c>
      <c r="AF14" s="8">
        <v>0</v>
      </c>
      <c r="AG14" s="10">
        <f t="shared" ref="AG14" si="1">SUM(B14:AF14)</f>
        <v>245</v>
      </c>
      <c r="AH14" s="10">
        <f>MAI!AH14+AG14</f>
        <v>569</v>
      </c>
    </row>
    <row r="15" ht="25.35" customHeight="1" spans="1:34">
      <c r="A15" s="7" t="s">
        <v>17</v>
      </c>
      <c r="B15" s="8">
        <v>0</v>
      </c>
      <c r="C15" s="8">
        <v>3</v>
      </c>
      <c r="D15" s="8">
        <v>0</v>
      </c>
      <c r="E15" s="8">
        <v>10</v>
      </c>
      <c r="F15" s="8">
        <v>36</v>
      </c>
      <c r="G15" s="8">
        <v>0</v>
      </c>
      <c r="H15" s="8">
        <v>13</v>
      </c>
      <c r="I15" s="8">
        <v>10</v>
      </c>
      <c r="J15" s="8">
        <v>0</v>
      </c>
      <c r="K15" s="8">
        <v>26</v>
      </c>
      <c r="L15" s="8">
        <v>0</v>
      </c>
      <c r="M15" s="8">
        <v>0</v>
      </c>
      <c r="N15" s="8">
        <v>17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7</v>
      </c>
      <c r="Y15" s="8">
        <v>0</v>
      </c>
      <c r="Z15" s="8">
        <v>19</v>
      </c>
      <c r="AA15" s="8">
        <v>1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0">
        <f t="shared" si="0"/>
        <v>142</v>
      </c>
      <c r="AH15" s="10">
        <f>MAI!AH15+AG15</f>
        <v>395</v>
      </c>
    </row>
    <row r="16" ht="25.35" customHeight="1" spans="1:34">
      <c r="A16" s="7" t="s">
        <v>18</v>
      </c>
      <c r="B16" s="8">
        <v>0</v>
      </c>
      <c r="C16" s="8">
        <v>11</v>
      </c>
      <c r="D16" s="8">
        <v>26</v>
      </c>
      <c r="E16" s="8">
        <v>2</v>
      </c>
      <c r="F16" s="8">
        <v>49</v>
      </c>
      <c r="G16" s="8">
        <v>0</v>
      </c>
      <c r="H16" s="8">
        <v>2</v>
      </c>
      <c r="I16" s="8">
        <v>0</v>
      </c>
      <c r="J16" s="8">
        <v>30</v>
      </c>
      <c r="K16" s="8">
        <v>0</v>
      </c>
      <c r="L16" s="8">
        <v>0</v>
      </c>
      <c r="M16" s="8">
        <v>0</v>
      </c>
      <c r="N16" s="8">
        <v>32</v>
      </c>
      <c r="O16" s="8">
        <v>0</v>
      </c>
      <c r="P16" s="8">
        <v>2</v>
      </c>
      <c r="Q16" s="8">
        <v>0</v>
      </c>
      <c r="R16" s="8">
        <v>0</v>
      </c>
      <c r="S16" s="8">
        <v>0</v>
      </c>
      <c r="T16" s="8">
        <v>11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15</v>
      </c>
      <c r="AA16" s="8">
        <v>35</v>
      </c>
      <c r="AB16" s="8">
        <v>13</v>
      </c>
      <c r="AC16" s="8">
        <v>0</v>
      </c>
      <c r="AD16" s="8">
        <v>0</v>
      </c>
      <c r="AE16" s="8">
        <v>34</v>
      </c>
      <c r="AF16" s="8">
        <v>0</v>
      </c>
      <c r="AG16" s="10">
        <f t="shared" si="0"/>
        <v>262</v>
      </c>
      <c r="AH16" s="10">
        <f>MAI!AH16+AG16</f>
        <v>468</v>
      </c>
    </row>
    <row r="17" ht="25.35" customHeight="1" spans="1:34">
      <c r="A17" s="7" t="s">
        <v>13</v>
      </c>
      <c r="B17" s="8">
        <v>0</v>
      </c>
      <c r="C17" s="8">
        <v>14</v>
      </c>
      <c r="D17" s="8">
        <v>0</v>
      </c>
      <c r="E17" s="8">
        <v>2</v>
      </c>
      <c r="F17" s="8">
        <v>28</v>
      </c>
      <c r="G17" s="8">
        <v>2</v>
      </c>
      <c r="H17" s="8">
        <v>34</v>
      </c>
      <c r="I17" s="8">
        <v>11</v>
      </c>
      <c r="J17" s="8">
        <v>17</v>
      </c>
      <c r="K17" s="8">
        <v>2</v>
      </c>
      <c r="L17" s="8">
        <v>7</v>
      </c>
      <c r="M17" s="8">
        <v>0</v>
      </c>
      <c r="N17" s="8">
        <v>18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18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11</v>
      </c>
      <c r="AA17" s="8">
        <v>64</v>
      </c>
      <c r="AB17" s="8">
        <v>5</v>
      </c>
      <c r="AC17" s="8">
        <v>0</v>
      </c>
      <c r="AD17" s="8">
        <v>0</v>
      </c>
      <c r="AE17" s="8">
        <v>35</v>
      </c>
      <c r="AF17" s="8">
        <v>0</v>
      </c>
      <c r="AG17" s="10">
        <f t="shared" si="0"/>
        <v>268</v>
      </c>
      <c r="AH17" s="10">
        <f>MAI!AH17+AG17</f>
        <v>719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2" customWidth="1"/>
    <col min="2" max="2" width="3" customWidth="1"/>
    <col min="3" max="3" width="2.14285714285714" customWidth="1"/>
    <col min="4" max="6" width="3" customWidth="1"/>
    <col min="7" max="7" width="2.14285714285714" customWidth="1"/>
    <col min="8" max="10" width="3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0</v>
      </c>
      <c r="E8" s="8">
        <v>3</v>
      </c>
      <c r="F8" s="8">
        <v>1</v>
      </c>
      <c r="G8" s="8">
        <v>0</v>
      </c>
      <c r="H8" s="8">
        <v>15</v>
      </c>
      <c r="I8" s="8">
        <v>0</v>
      </c>
      <c r="J8" s="8">
        <v>0</v>
      </c>
      <c r="K8" s="8">
        <v>8</v>
      </c>
      <c r="L8" s="8">
        <v>9</v>
      </c>
      <c r="M8" s="8">
        <v>0</v>
      </c>
      <c r="N8" s="8">
        <v>17</v>
      </c>
      <c r="O8" s="8">
        <v>1</v>
      </c>
      <c r="P8" s="8">
        <v>0</v>
      </c>
      <c r="Q8" s="8">
        <v>0</v>
      </c>
      <c r="R8" s="8">
        <v>34</v>
      </c>
      <c r="S8" s="8">
        <v>5</v>
      </c>
      <c r="T8" s="8">
        <v>4</v>
      </c>
      <c r="U8" s="8">
        <v>3</v>
      </c>
      <c r="V8" s="8">
        <v>7</v>
      </c>
      <c r="W8" s="8">
        <v>0</v>
      </c>
      <c r="X8" s="8">
        <v>2</v>
      </c>
      <c r="Y8" s="8">
        <v>37</v>
      </c>
      <c r="Z8" s="8">
        <v>0</v>
      </c>
      <c r="AA8" s="8">
        <v>0</v>
      </c>
      <c r="AB8" s="8">
        <v>0</v>
      </c>
      <c r="AC8" s="8">
        <v>26</v>
      </c>
      <c r="AD8" s="8">
        <v>0</v>
      </c>
      <c r="AE8" s="8">
        <v>0</v>
      </c>
      <c r="AF8" s="8">
        <v>0</v>
      </c>
      <c r="AG8" s="10">
        <f>SUM(B8:AF8)</f>
        <v>172</v>
      </c>
      <c r="AH8" s="10">
        <f>JUIN!AH8+AG8</f>
        <v>358</v>
      </c>
    </row>
    <row r="9" ht="25.35" customHeight="1" spans="1:34">
      <c r="A9" s="7" t="s">
        <v>6</v>
      </c>
      <c r="B9" s="8">
        <v>3</v>
      </c>
      <c r="C9" s="8">
        <v>0</v>
      </c>
      <c r="D9" s="8">
        <v>0</v>
      </c>
      <c r="E9" s="8">
        <v>15</v>
      </c>
      <c r="F9" s="8">
        <v>14</v>
      </c>
      <c r="G9" s="8">
        <v>0</v>
      </c>
      <c r="H9" s="8">
        <v>0</v>
      </c>
      <c r="I9" s="8">
        <v>9</v>
      </c>
      <c r="J9" s="8">
        <v>0</v>
      </c>
      <c r="K9" s="8">
        <v>2</v>
      </c>
      <c r="L9" s="8">
        <v>28</v>
      </c>
      <c r="M9" s="8">
        <v>0</v>
      </c>
      <c r="N9" s="8">
        <v>12</v>
      </c>
      <c r="O9" s="8">
        <v>0</v>
      </c>
      <c r="P9" s="8">
        <v>0</v>
      </c>
      <c r="Q9" s="8">
        <v>0</v>
      </c>
      <c r="R9" s="8">
        <v>0</v>
      </c>
      <c r="S9" s="8">
        <v>2</v>
      </c>
      <c r="T9" s="8">
        <v>0</v>
      </c>
      <c r="U9" s="8">
        <v>0</v>
      </c>
      <c r="V9" s="8">
        <v>38</v>
      </c>
      <c r="W9" s="8">
        <v>0</v>
      </c>
      <c r="X9" s="8">
        <v>0</v>
      </c>
      <c r="Y9" s="8">
        <v>26</v>
      </c>
      <c r="Z9" s="8">
        <v>0</v>
      </c>
      <c r="AA9" s="8">
        <v>1</v>
      </c>
      <c r="AB9" s="8">
        <v>0</v>
      </c>
      <c r="AC9" s="8">
        <v>0</v>
      </c>
      <c r="AD9" s="8">
        <v>0</v>
      </c>
      <c r="AE9" s="8">
        <v>0</v>
      </c>
      <c r="AF9" s="8">
        <v>9</v>
      </c>
      <c r="AG9" s="10">
        <f t="shared" ref="AG9:AG17" si="0">SUM(B9:AF9)</f>
        <v>159</v>
      </c>
      <c r="AH9" s="10">
        <f>JUIN!AH9+AG9</f>
        <v>371</v>
      </c>
    </row>
    <row r="10" ht="25.35" customHeight="1" spans="1:34">
      <c r="A10" s="7" t="s">
        <v>7</v>
      </c>
      <c r="B10" s="8">
        <v>0</v>
      </c>
      <c r="C10" s="8">
        <v>0</v>
      </c>
      <c r="D10" s="8">
        <v>0</v>
      </c>
      <c r="E10" s="8">
        <v>25</v>
      </c>
      <c r="F10" s="8">
        <v>20</v>
      </c>
      <c r="G10" s="8">
        <v>0</v>
      </c>
      <c r="H10" s="8">
        <v>13</v>
      </c>
      <c r="I10" s="8">
        <v>7</v>
      </c>
      <c r="J10" s="8">
        <v>16</v>
      </c>
      <c r="K10" s="8">
        <v>11</v>
      </c>
      <c r="L10" s="8">
        <v>0</v>
      </c>
      <c r="M10" s="8">
        <v>2</v>
      </c>
      <c r="N10" s="8">
        <v>17</v>
      </c>
      <c r="O10" s="8">
        <v>0</v>
      </c>
      <c r="P10" s="8">
        <v>0</v>
      </c>
      <c r="Q10" s="8">
        <v>0</v>
      </c>
      <c r="R10" s="8">
        <v>3</v>
      </c>
      <c r="S10" s="8">
        <v>41</v>
      </c>
      <c r="T10" s="8">
        <v>0</v>
      </c>
      <c r="U10" s="8">
        <v>0</v>
      </c>
      <c r="V10" s="8">
        <v>19</v>
      </c>
      <c r="W10" s="8">
        <v>0</v>
      </c>
      <c r="X10" s="8">
        <v>0</v>
      </c>
      <c r="Y10" s="8">
        <v>14</v>
      </c>
      <c r="Z10" s="8">
        <v>0</v>
      </c>
      <c r="AA10" s="8">
        <v>15</v>
      </c>
      <c r="AB10" s="8">
        <v>0</v>
      </c>
      <c r="AC10" s="8">
        <v>0</v>
      </c>
      <c r="AD10" s="8">
        <v>0</v>
      </c>
      <c r="AE10" s="8">
        <v>0</v>
      </c>
      <c r="AF10" s="8">
        <v>6</v>
      </c>
      <c r="AG10" s="10">
        <f t="shared" si="0"/>
        <v>209</v>
      </c>
      <c r="AH10" s="10">
        <f>JUIN!AH10+AG10</f>
        <v>511</v>
      </c>
    </row>
    <row r="11" ht="25.35" customHeight="1" spans="1:34">
      <c r="A11" s="7" t="s">
        <v>8</v>
      </c>
      <c r="B11" s="8">
        <v>4</v>
      </c>
      <c r="C11" s="8">
        <v>0</v>
      </c>
      <c r="D11" s="8">
        <v>0</v>
      </c>
      <c r="E11" s="8">
        <v>10</v>
      </c>
      <c r="F11" s="8">
        <v>8</v>
      </c>
      <c r="G11" s="8">
        <v>0</v>
      </c>
      <c r="H11" s="8">
        <v>5</v>
      </c>
      <c r="I11" s="8">
        <v>0</v>
      </c>
      <c r="J11" s="8">
        <v>1</v>
      </c>
      <c r="K11" s="8">
        <v>19</v>
      </c>
      <c r="L11" s="8">
        <v>10</v>
      </c>
      <c r="M11" s="8">
        <v>0</v>
      </c>
      <c r="N11" s="8">
        <v>0</v>
      </c>
      <c r="O11" s="8">
        <v>13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35</v>
      </c>
      <c r="Z11" s="8">
        <v>0</v>
      </c>
      <c r="AA11" s="8">
        <v>6</v>
      </c>
      <c r="AB11" s="8">
        <v>0</v>
      </c>
      <c r="AC11" s="8">
        <v>7</v>
      </c>
      <c r="AD11" s="8">
        <v>0</v>
      </c>
      <c r="AE11" s="8">
        <v>0</v>
      </c>
      <c r="AF11" s="8">
        <v>39</v>
      </c>
      <c r="AG11" s="10">
        <f t="shared" si="0"/>
        <v>160</v>
      </c>
      <c r="AH11" s="10">
        <f>JUIN!AH11+AG11</f>
        <v>413</v>
      </c>
    </row>
    <row r="12" ht="25.35" customHeight="1" spans="1:34">
      <c r="A12" s="7" t="s">
        <v>9</v>
      </c>
      <c r="B12" s="8">
        <v>15</v>
      </c>
      <c r="C12" s="8">
        <v>0</v>
      </c>
      <c r="D12" s="8">
        <v>0</v>
      </c>
      <c r="E12" s="8">
        <v>0</v>
      </c>
      <c r="F12" s="8">
        <v>40</v>
      </c>
      <c r="G12" s="8">
        <v>0</v>
      </c>
      <c r="H12" s="8">
        <v>0</v>
      </c>
      <c r="I12" s="8">
        <v>2</v>
      </c>
      <c r="J12" s="8">
        <v>1</v>
      </c>
      <c r="K12" s="8">
        <v>0</v>
      </c>
      <c r="L12" s="8">
        <v>40</v>
      </c>
      <c r="M12" s="8">
        <v>0</v>
      </c>
      <c r="N12" s="8">
        <v>0</v>
      </c>
      <c r="O12" s="8">
        <v>2</v>
      </c>
      <c r="P12" s="8">
        <v>0</v>
      </c>
      <c r="Q12" s="8">
        <v>0</v>
      </c>
      <c r="R12" s="8">
        <v>0</v>
      </c>
      <c r="S12" s="8">
        <v>60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13</v>
      </c>
      <c r="Z12" s="8">
        <v>0</v>
      </c>
      <c r="AA12" s="8">
        <v>3</v>
      </c>
      <c r="AB12" s="8">
        <v>0</v>
      </c>
      <c r="AC12" s="8">
        <v>3</v>
      </c>
      <c r="AD12" s="8">
        <v>0</v>
      </c>
      <c r="AE12" s="8">
        <v>0</v>
      </c>
      <c r="AF12" s="8">
        <v>4</v>
      </c>
      <c r="AG12" s="10">
        <f t="shared" si="0"/>
        <v>183</v>
      </c>
      <c r="AH12" s="10">
        <f>JUIN!AH12+AG12</f>
        <v>514</v>
      </c>
    </row>
    <row r="13" ht="25.35" customHeight="1" spans="1:34">
      <c r="A13" s="7" t="s">
        <v>10</v>
      </c>
      <c r="B13" s="8">
        <v>5</v>
      </c>
      <c r="C13" s="8">
        <v>0</v>
      </c>
      <c r="D13" s="8">
        <v>0</v>
      </c>
      <c r="E13" s="8">
        <v>0</v>
      </c>
      <c r="F13" s="8">
        <v>10</v>
      </c>
      <c r="G13" s="8">
        <v>0</v>
      </c>
      <c r="H13" s="8">
        <v>2</v>
      </c>
      <c r="I13" s="8">
        <v>3</v>
      </c>
      <c r="J13" s="8">
        <v>0</v>
      </c>
      <c r="K13" s="8">
        <v>0</v>
      </c>
      <c r="L13" s="8">
        <v>33</v>
      </c>
      <c r="M13" s="8">
        <v>0</v>
      </c>
      <c r="N13" s="8">
        <v>3</v>
      </c>
      <c r="O13" s="8">
        <v>1</v>
      </c>
      <c r="P13" s="8">
        <v>0</v>
      </c>
      <c r="Q13" s="8">
        <v>0</v>
      </c>
      <c r="R13" s="8">
        <v>0</v>
      </c>
      <c r="S13" s="8">
        <v>9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36</v>
      </c>
      <c r="Z13" s="8">
        <v>0</v>
      </c>
      <c r="AA13" s="8">
        <v>0</v>
      </c>
      <c r="AB13" s="8">
        <v>0</v>
      </c>
      <c r="AC13" s="8">
        <v>40</v>
      </c>
      <c r="AD13" s="8">
        <v>0</v>
      </c>
      <c r="AE13" s="8">
        <v>0</v>
      </c>
      <c r="AF13" s="8">
        <v>1</v>
      </c>
      <c r="AG13" s="10">
        <f t="shared" si="0"/>
        <v>143</v>
      </c>
      <c r="AH13" s="10">
        <f>JUIN!AH13+AG13</f>
        <v>481</v>
      </c>
    </row>
    <row r="14" ht="25.35" customHeight="1" spans="1:34">
      <c r="A14" s="7" t="s">
        <v>16</v>
      </c>
      <c r="B14" s="8">
        <v>25</v>
      </c>
      <c r="C14" s="8">
        <v>0</v>
      </c>
      <c r="D14" s="8">
        <v>0</v>
      </c>
      <c r="E14" s="8">
        <v>0</v>
      </c>
      <c r="F14" s="8">
        <v>31</v>
      </c>
      <c r="G14" s="8">
        <v>0</v>
      </c>
      <c r="H14" s="8">
        <v>23</v>
      </c>
      <c r="I14" s="8">
        <v>10</v>
      </c>
      <c r="J14" s="8">
        <v>17</v>
      </c>
      <c r="K14" s="8">
        <v>8</v>
      </c>
      <c r="L14" s="8">
        <v>45</v>
      </c>
      <c r="M14" s="8">
        <v>0</v>
      </c>
      <c r="N14" s="8">
        <v>5</v>
      </c>
      <c r="O14" s="8">
        <v>1</v>
      </c>
      <c r="P14" s="8">
        <v>4</v>
      </c>
      <c r="Q14" s="8">
        <v>0</v>
      </c>
      <c r="R14" s="8">
        <v>0</v>
      </c>
      <c r="S14" s="8">
        <v>29</v>
      </c>
      <c r="T14" s="8">
        <v>1</v>
      </c>
      <c r="U14" s="8">
        <v>0</v>
      </c>
      <c r="V14" s="8">
        <v>0</v>
      </c>
      <c r="W14" s="8">
        <v>45</v>
      </c>
      <c r="X14" s="8">
        <v>8</v>
      </c>
      <c r="Y14" s="8">
        <v>4</v>
      </c>
      <c r="Z14" s="8">
        <v>0</v>
      </c>
      <c r="AA14" s="8">
        <v>26</v>
      </c>
      <c r="AB14" s="8">
        <v>0</v>
      </c>
      <c r="AC14" s="8">
        <v>28</v>
      </c>
      <c r="AD14" s="8">
        <v>0</v>
      </c>
      <c r="AE14" s="8">
        <v>0</v>
      </c>
      <c r="AF14" s="8">
        <v>32</v>
      </c>
      <c r="AG14" s="10">
        <f t="shared" ref="AG14" si="1">SUM(B14:AF14)</f>
        <v>342</v>
      </c>
      <c r="AH14" s="10">
        <f>JUIN!AH14+AG14</f>
        <v>911</v>
      </c>
    </row>
    <row r="15" ht="25.35" customHeight="1" spans="1:34">
      <c r="A15" s="7" t="s">
        <v>17</v>
      </c>
      <c r="B15" s="8">
        <v>25</v>
      </c>
      <c r="C15" s="8">
        <v>0</v>
      </c>
      <c r="D15" s="8">
        <v>6</v>
      </c>
      <c r="E15" s="8">
        <v>0</v>
      </c>
      <c r="F15" s="8">
        <v>0</v>
      </c>
      <c r="G15" s="8">
        <v>0</v>
      </c>
      <c r="H15" s="8">
        <v>51</v>
      </c>
      <c r="I15" s="8">
        <v>24</v>
      </c>
      <c r="J15" s="8">
        <v>0</v>
      </c>
      <c r="K15" s="8">
        <v>0</v>
      </c>
      <c r="L15" s="8">
        <v>22</v>
      </c>
      <c r="M15" s="8">
        <v>0</v>
      </c>
      <c r="N15" s="8">
        <v>24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39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28</v>
      </c>
      <c r="AB15" s="8">
        <v>26</v>
      </c>
      <c r="AC15" s="8">
        <v>0</v>
      </c>
      <c r="AD15" s="8">
        <v>0</v>
      </c>
      <c r="AE15" s="8">
        <v>0</v>
      </c>
      <c r="AF15" s="8">
        <v>3</v>
      </c>
      <c r="AG15" s="10">
        <f t="shared" si="0"/>
        <v>248</v>
      </c>
      <c r="AH15" s="10">
        <f>JUIN!AH15+AG15</f>
        <v>643</v>
      </c>
    </row>
    <row r="16" ht="25.35" customHeight="1" spans="1:34">
      <c r="A16" s="7" t="s">
        <v>18</v>
      </c>
      <c r="B16" s="8">
        <v>0</v>
      </c>
      <c r="C16" s="8">
        <v>0</v>
      </c>
      <c r="D16" s="8">
        <v>9</v>
      </c>
      <c r="E16" s="8">
        <v>4</v>
      </c>
      <c r="F16" s="8">
        <v>0</v>
      </c>
      <c r="G16" s="8">
        <v>0</v>
      </c>
      <c r="H16" s="8">
        <v>64</v>
      </c>
      <c r="I16" s="8">
        <v>0</v>
      </c>
      <c r="J16" s="8">
        <v>0</v>
      </c>
      <c r="K16" s="8">
        <v>0</v>
      </c>
      <c r="L16" s="8">
        <v>4</v>
      </c>
      <c r="M16" s="8">
        <v>7</v>
      </c>
      <c r="N16" s="8">
        <v>20</v>
      </c>
      <c r="O16" s="8">
        <v>1</v>
      </c>
      <c r="P16" s="8">
        <v>0</v>
      </c>
      <c r="Q16" s="8">
        <v>0</v>
      </c>
      <c r="R16" s="8">
        <v>5</v>
      </c>
      <c r="S16" s="8">
        <v>25</v>
      </c>
      <c r="T16" s="8">
        <v>20</v>
      </c>
      <c r="U16" s="8">
        <v>6</v>
      </c>
      <c r="V16" s="8">
        <v>0</v>
      </c>
      <c r="W16" s="8">
        <v>0</v>
      </c>
      <c r="X16" s="8">
        <v>0</v>
      </c>
      <c r="Y16" s="8">
        <v>0</v>
      </c>
      <c r="Z16" s="8">
        <v>36</v>
      </c>
      <c r="AA16" s="8">
        <v>2</v>
      </c>
      <c r="AB16" s="8">
        <v>16</v>
      </c>
      <c r="AC16" s="8">
        <v>5</v>
      </c>
      <c r="AD16" s="8">
        <v>0</v>
      </c>
      <c r="AE16" s="8">
        <v>0</v>
      </c>
      <c r="AF16" s="8">
        <v>9</v>
      </c>
      <c r="AG16" s="10">
        <f t="shared" si="0"/>
        <v>233</v>
      </c>
      <c r="AH16" s="10">
        <f>JUIN!AH16+AG16</f>
        <v>701</v>
      </c>
    </row>
    <row r="17" ht="25.35" customHeight="1" spans="1:34">
      <c r="A17" s="7" t="s">
        <v>13</v>
      </c>
      <c r="B17" s="8">
        <v>3</v>
      </c>
      <c r="C17" s="8">
        <v>0</v>
      </c>
      <c r="D17" s="8">
        <v>15</v>
      </c>
      <c r="E17" s="8">
        <v>1</v>
      </c>
      <c r="F17" s="8">
        <v>0</v>
      </c>
      <c r="G17" s="8">
        <v>0</v>
      </c>
      <c r="H17" s="8">
        <v>25</v>
      </c>
      <c r="I17" s="8">
        <v>90</v>
      </c>
      <c r="J17" s="8">
        <v>1</v>
      </c>
      <c r="K17" s="8">
        <v>1</v>
      </c>
      <c r="L17" s="8">
        <v>19</v>
      </c>
      <c r="M17" s="8">
        <v>9</v>
      </c>
      <c r="N17" s="8">
        <v>15</v>
      </c>
      <c r="O17" s="8">
        <v>0</v>
      </c>
      <c r="P17" s="8">
        <v>2</v>
      </c>
      <c r="Q17" s="8">
        <v>0</v>
      </c>
      <c r="R17" s="8">
        <v>0</v>
      </c>
      <c r="S17" s="8">
        <v>1</v>
      </c>
      <c r="T17" s="8">
        <v>75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10</v>
      </c>
      <c r="AA17" s="8">
        <v>40</v>
      </c>
      <c r="AB17" s="8">
        <v>7</v>
      </c>
      <c r="AC17" s="8">
        <v>1</v>
      </c>
      <c r="AD17" s="8">
        <v>0</v>
      </c>
      <c r="AE17" s="8">
        <v>1</v>
      </c>
      <c r="AF17" s="8">
        <v>5</v>
      </c>
      <c r="AG17" s="10">
        <f t="shared" si="0"/>
        <v>321</v>
      </c>
      <c r="AH17" s="10">
        <f>JUIN!AH17+AG17</f>
        <v>1040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H17"/>
  <sheetViews>
    <sheetView zoomScale="85" zoomScaleNormal="85" topLeftCell="A4" workbookViewId="0">
      <selection activeCell="AB8" sqref="AB8"/>
    </sheetView>
  </sheetViews>
  <sheetFormatPr defaultColWidth="11" defaultRowHeight="15"/>
  <cols>
    <col min="1" max="1" width="12" customWidth="1"/>
    <col min="2" max="9" width="3" customWidth="1"/>
    <col min="10" max="10" width="3.42857142857143" customWidth="1"/>
    <col min="11" max="11" width="4.14285714285714" customWidth="1"/>
    <col min="12" max="15" width="3.28571428571429" customWidth="1"/>
    <col min="16" max="16" width="4.14285714285714" customWidth="1"/>
    <col min="17" max="22" width="3.28571428571429" customWidth="1"/>
    <col min="23" max="23" width="4.14285714285714" customWidth="1"/>
    <col min="24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19</v>
      </c>
      <c r="C8" s="8">
        <v>3</v>
      </c>
      <c r="D8" s="8">
        <v>0</v>
      </c>
      <c r="E8" s="8">
        <v>11</v>
      </c>
      <c r="F8" s="8">
        <v>0</v>
      </c>
      <c r="G8" s="8">
        <v>13</v>
      </c>
      <c r="H8" s="8">
        <v>22</v>
      </c>
      <c r="I8" s="8">
        <v>17</v>
      </c>
      <c r="J8" s="8">
        <v>0</v>
      </c>
      <c r="K8" s="8">
        <v>22</v>
      </c>
      <c r="L8" s="8">
        <v>8</v>
      </c>
      <c r="M8" s="8">
        <v>15</v>
      </c>
      <c r="N8" s="8">
        <v>22</v>
      </c>
      <c r="O8" s="8">
        <v>2</v>
      </c>
      <c r="P8" s="8">
        <v>65</v>
      </c>
      <c r="Q8" s="8">
        <v>5</v>
      </c>
      <c r="R8" s="8">
        <v>3</v>
      </c>
      <c r="S8" s="8">
        <v>7</v>
      </c>
      <c r="T8" s="8">
        <v>0</v>
      </c>
      <c r="U8" s="8">
        <v>0</v>
      </c>
      <c r="V8" s="8">
        <v>5</v>
      </c>
      <c r="W8" s="8">
        <v>0</v>
      </c>
      <c r="X8" s="8">
        <v>64</v>
      </c>
      <c r="Y8" s="8">
        <v>33</v>
      </c>
      <c r="Z8" s="8">
        <v>4</v>
      </c>
      <c r="AA8" s="8">
        <v>17</v>
      </c>
      <c r="AB8" s="8">
        <v>2</v>
      </c>
      <c r="AC8" s="8">
        <v>37</v>
      </c>
      <c r="AD8" s="8">
        <v>0</v>
      </c>
      <c r="AE8" s="8">
        <v>0</v>
      </c>
      <c r="AF8" s="8">
        <v>24</v>
      </c>
      <c r="AG8" s="10">
        <f>SUM(B8:AF8)</f>
        <v>420</v>
      </c>
      <c r="AH8" s="10">
        <f>AG8+JUILLET!AH8</f>
        <v>778</v>
      </c>
    </row>
    <row r="9" ht="25.35" customHeight="1" spans="1:34">
      <c r="A9" s="7" t="s">
        <v>6</v>
      </c>
      <c r="B9" s="8">
        <v>2</v>
      </c>
      <c r="C9" s="8">
        <v>0</v>
      </c>
      <c r="D9" s="8">
        <v>20</v>
      </c>
      <c r="E9" s="8">
        <v>4</v>
      </c>
      <c r="F9" s="8">
        <v>0</v>
      </c>
      <c r="G9" s="8">
        <v>0</v>
      </c>
      <c r="H9" s="8">
        <v>12</v>
      </c>
      <c r="I9" s="8">
        <v>12</v>
      </c>
      <c r="J9" s="8">
        <v>0</v>
      </c>
      <c r="K9" s="8">
        <v>0</v>
      </c>
      <c r="L9" s="8">
        <v>0</v>
      </c>
      <c r="M9" s="8">
        <v>23</v>
      </c>
      <c r="N9" s="8">
        <v>12</v>
      </c>
      <c r="O9" s="8">
        <v>0</v>
      </c>
      <c r="P9" s="8">
        <v>0</v>
      </c>
      <c r="Q9" s="8">
        <v>32</v>
      </c>
      <c r="R9" s="8">
        <v>6</v>
      </c>
      <c r="S9" s="8">
        <v>20</v>
      </c>
      <c r="T9" s="8">
        <v>0</v>
      </c>
      <c r="U9" s="8">
        <v>0</v>
      </c>
      <c r="V9" s="8">
        <v>2</v>
      </c>
      <c r="W9" s="8">
        <v>100</v>
      </c>
      <c r="X9" s="8">
        <v>10</v>
      </c>
      <c r="Y9" s="8">
        <v>0</v>
      </c>
      <c r="Z9" s="8">
        <v>27</v>
      </c>
      <c r="AA9" s="8">
        <v>0</v>
      </c>
      <c r="AB9" s="8">
        <v>0</v>
      </c>
      <c r="AC9" s="8">
        <v>68</v>
      </c>
      <c r="AD9" s="8">
        <v>0</v>
      </c>
      <c r="AE9" s="8">
        <v>0</v>
      </c>
      <c r="AF9" s="8">
        <v>15</v>
      </c>
      <c r="AG9" s="10">
        <f t="shared" ref="AG9:AG17" si="0">SUM(B9:AF9)</f>
        <v>365</v>
      </c>
      <c r="AH9" s="10">
        <f>AG9+JUILLET!AH9</f>
        <v>736</v>
      </c>
    </row>
    <row r="10" ht="25.35" customHeight="1" spans="1:34">
      <c r="A10" s="7" t="s">
        <v>7</v>
      </c>
      <c r="B10" s="8">
        <v>0</v>
      </c>
      <c r="C10" s="8">
        <v>6</v>
      </c>
      <c r="D10" s="8">
        <v>72</v>
      </c>
      <c r="E10" s="8">
        <v>37</v>
      </c>
      <c r="F10" s="8">
        <v>0</v>
      </c>
      <c r="G10" s="8">
        <v>0</v>
      </c>
      <c r="H10" s="8">
        <v>19</v>
      </c>
      <c r="I10" s="8">
        <v>27</v>
      </c>
      <c r="J10" s="8">
        <v>0</v>
      </c>
      <c r="K10" s="8">
        <v>0</v>
      </c>
      <c r="L10" s="8">
        <v>0</v>
      </c>
      <c r="M10" s="8">
        <v>15</v>
      </c>
      <c r="N10" s="8">
        <v>19</v>
      </c>
      <c r="O10" s="8">
        <v>0</v>
      </c>
      <c r="P10" s="8">
        <v>100</v>
      </c>
      <c r="Q10" s="8">
        <v>20</v>
      </c>
      <c r="R10" s="8">
        <v>0</v>
      </c>
      <c r="S10" s="8">
        <v>5</v>
      </c>
      <c r="T10" s="8">
        <v>0</v>
      </c>
      <c r="U10" s="8">
        <v>0</v>
      </c>
      <c r="V10" s="8">
        <v>0</v>
      </c>
      <c r="W10" s="8">
        <v>38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46</v>
      </c>
      <c r="AD10" s="8">
        <v>0</v>
      </c>
      <c r="AE10" s="8">
        <v>0</v>
      </c>
      <c r="AF10" s="8">
        <v>16</v>
      </c>
      <c r="AG10" s="10">
        <f t="shared" si="0"/>
        <v>422</v>
      </c>
      <c r="AH10" s="10">
        <f>AG10+JUILLET!AH10</f>
        <v>933</v>
      </c>
    </row>
    <row r="11" ht="25.35" customHeight="1" spans="1:34">
      <c r="A11" s="7" t="s">
        <v>8</v>
      </c>
      <c r="B11" s="8">
        <v>3</v>
      </c>
      <c r="C11" s="8">
        <v>0</v>
      </c>
      <c r="D11" s="8">
        <v>3</v>
      </c>
      <c r="E11" s="8">
        <v>26</v>
      </c>
      <c r="F11" s="8">
        <v>0</v>
      </c>
      <c r="G11" s="8">
        <v>0</v>
      </c>
      <c r="H11" s="8">
        <v>7</v>
      </c>
      <c r="I11" s="8">
        <v>0</v>
      </c>
      <c r="J11" s="8">
        <v>3</v>
      </c>
      <c r="K11" s="8">
        <v>0</v>
      </c>
      <c r="L11" s="8">
        <v>1</v>
      </c>
      <c r="M11" s="8">
        <v>13</v>
      </c>
      <c r="N11" s="8">
        <v>19</v>
      </c>
      <c r="O11" s="8">
        <v>0</v>
      </c>
      <c r="P11" s="8">
        <v>0</v>
      </c>
      <c r="Q11" s="8">
        <v>19</v>
      </c>
      <c r="R11" s="8">
        <v>0</v>
      </c>
      <c r="S11" s="8">
        <v>42</v>
      </c>
      <c r="T11" s="8">
        <v>0</v>
      </c>
      <c r="U11" s="8">
        <v>0</v>
      </c>
      <c r="V11" s="8">
        <v>3</v>
      </c>
      <c r="W11" s="8">
        <v>0</v>
      </c>
      <c r="X11" s="8">
        <v>10</v>
      </c>
      <c r="Y11" s="8">
        <v>0</v>
      </c>
      <c r="Z11" s="8">
        <v>1</v>
      </c>
      <c r="AA11" s="8">
        <v>0</v>
      </c>
      <c r="AB11" s="8">
        <v>0</v>
      </c>
      <c r="AC11" s="8">
        <v>50</v>
      </c>
      <c r="AD11" s="8">
        <v>0</v>
      </c>
      <c r="AE11" s="8">
        <v>0</v>
      </c>
      <c r="AF11" s="8">
        <v>12</v>
      </c>
      <c r="AG11" s="10">
        <f t="shared" si="0"/>
        <v>212</v>
      </c>
      <c r="AH11" s="10">
        <f>AG11+JUILLET!AH11</f>
        <v>625</v>
      </c>
    </row>
    <row r="12" ht="25.35" customHeight="1" spans="1:34">
      <c r="A12" s="7" t="s">
        <v>9</v>
      </c>
      <c r="B12" s="8">
        <v>7</v>
      </c>
      <c r="C12" s="8">
        <v>0</v>
      </c>
      <c r="D12" s="8">
        <v>2</v>
      </c>
      <c r="E12" s="8">
        <v>0</v>
      </c>
      <c r="F12" s="8">
        <v>0</v>
      </c>
      <c r="G12" s="8">
        <v>0</v>
      </c>
      <c r="H12" s="8">
        <v>0</v>
      </c>
      <c r="I12" s="8">
        <v>3</v>
      </c>
      <c r="J12" s="8">
        <v>0</v>
      </c>
      <c r="K12" s="8">
        <v>0</v>
      </c>
      <c r="L12" s="8">
        <v>5</v>
      </c>
      <c r="M12" s="8">
        <v>0</v>
      </c>
      <c r="N12" s="8">
        <v>5</v>
      </c>
      <c r="O12" s="8">
        <v>0</v>
      </c>
      <c r="P12" s="8">
        <v>0</v>
      </c>
      <c r="Q12" s="8">
        <v>8</v>
      </c>
      <c r="R12" s="8">
        <v>13</v>
      </c>
      <c r="S12" s="8">
        <v>2</v>
      </c>
      <c r="T12" s="8">
        <v>0</v>
      </c>
      <c r="U12" s="8">
        <v>0</v>
      </c>
      <c r="V12" s="8">
        <v>1</v>
      </c>
      <c r="W12" s="8">
        <v>22</v>
      </c>
      <c r="X12" s="8">
        <v>2</v>
      </c>
      <c r="Y12" s="8">
        <v>2</v>
      </c>
      <c r="Z12" s="8">
        <v>0</v>
      </c>
      <c r="AA12" s="8">
        <v>0</v>
      </c>
      <c r="AB12" s="8">
        <v>40</v>
      </c>
      <c r="AC12" s="8">
        <v>38</v>
      </c>
      <c r="AD12" s="8">
        <v>0</v>
      </c>
      <c r="AE12" s="8">
        <v>21</v>
      </c>
      <c r="AF12" s="8">
        <v>3</v>
      </c>
      <c r="AG12" s="10">
        <f t="shared" si="0"/>
        <v>174</v>
      </c>
      <c r="AH12" s="10">
        <f>AG12+JUILLET!AH12</f>
        <v>688</v>
      </c>
    </row>
    <row r="13" ht="25.35" customHeight="1" spans="1:34">
      <c r="A13" s="7" t="s">
        <v>10</v>
      </c>
      <c r="B13" s="8">
        <v>10</v>
      </c>
      <c r="C13" s="8">
        <v>0</v>
      </c>
      <c r="D13" s="8">
        <v>3</v>
      </c>
      <c r="E13" s="8">
        <v>11</v>
      </c>
      <c r="F13" s="8">
        <v>5</v>
      </c>
      <c r="G13" s="8">
        <v>0</v>
      </c>
      <c r="H13" s="8">
        <v>1</v>
      </c>
      <c r="I13" s="8">
        <v>0</v>
      </c>
      <c r="J13" s="8">
        <v>0</v>
      </c>
      <c r="K13" s="8">
        <v>0</v>
      </c>
      <c r="L13" s="8">
        <v>73</v>
      </c>
      <c r="M13" s="8">
        <v>7</v>
      </c>
      <c r="N13" s="8">
        <v>0</v>
      </c>
      <c r="O13" s="8">
        <v>0</v>
      </c>
      <c r="P13" s="8">
        <v>1</v>
      </c>
      <c r="Q13" s="8">
        <v>4</v>
      </c>
      <c r="R13" s="8">
        <v>0</v>
      </c>
      <c r="S13" s="8">
        <v>1</v>
      </c>
      <c r="T13" s="8">
        <v>0</v>
      </c>
      <c r="U13" s="8">
        <v>0</v>
      </c>
      <c r="V13" s="8">
        <v>10</v>
      </c>
      <c r="W13" s="8">
        <v>48</v>
      </c>
      <c r="X13" s="8">
        <v>6</v>
      </c>
      <c r="Y13" s="8">
        <v>15</v>
      </c>
      <c r="Z13" s="8">
        <v>0</v>
      </c>
      <c r="AA13" s="8">
        <v>2</v>
      </c>
      <c r="AB13" s="8">
        <v>3</v>
      </c>
      <c r="AC13" s="8">
        <v>54</v>
      </c>
      <c r="AD13" s="8">
        <v>0</v>
      </c>
      <c r="AE13" s="8">
        <v>20</v>
      </c>
      <c r="AF13" s="8">
        <v>14</v>
      </c>
      <c r="AG13" s="10">
        <f t="shared" si="0"/>
        <v>288</v>
      </c>
      <c r="AH13" s="10">
        <f>AG13+JUILLET!AH13</f>
        <v>769</v>
      </c>
    </row>
    <row r="14" ht="25.35" customHeight="1" spans="1:34">
      <c r="A14" s="7" t="s">
        <v>16</v>
      </c>
      <c r="B14" s="8">
        <v>19</v>
      </c>
      <c r="C14" s="8">
        <v>0</v>
      </c>
      <c r="D14" s="8">
        <v>8</v>
      </c>
      <c r="E14" s="8">
        <v>0</v>
      </c>
      <c r="F14" s="8">
        <v>11</v>
      </c>
      <c r="G14" s="8">
        <v>0</v>
      </c>
      <c r="H14" s="8">
        <v>19</v>
      </c>
      <c r="I14" s="8">
        <v>6</v>
      </c>
      <c r="J14" s="8">
        <v>0</v>
      </c>
      <c r="K14" s="8">
        <v>0</v>
      </c>
      <c r="L14" s="8">
        <v>11</v>
      </c>
      <c r="M14" s="8">
        <v>0</v>
      </c>
      <c r="N14" s="8">
        <v>5</v>
      </c>
      <c r="O14" s="8">
        <v>0</v>
      </c>
      <c r="P14" s="8">
        <v>22</v>
      </c>
      <c r="Q14" s="8">
        <v>8</v>
      </c>
      <c r="R14" s="8">
        <v>3</v>
      </c>
      <c r="S14" s="8">
        <v>0</v>
      </c>
      <c r="T14" s="8">
        <v>12</v>
      </c>
      <c r="U14" s="8">
        <v>0</v>
      </c>
      <c r="V14" s="8">
        <v>32</v>
      </c>
      <c r="W14" s="8">
        <v>2</v>
      </c>
      <c r="X14" s="8">
        <v>48</v>
      </c>
      <c r="Y14" s="8">
        <v>10</v>
      </c>
      <c r="Z14" s="8">
        <v>0</v>
      </c>
      <c r="AA14" s="8">
        <v>0</v>
      </c>
      <c r="AB14" s="8">
        <v>0</v>
      </c>
      <c r="AC14" s="8">
        <v>10</v>
      </c>
      <c r="AD14" s="8">
        <v>8</v>
      </c>
      <c r="AE14" s="8">
        <v>3</v>
      </c>
      <c r="AF14" s="8">
        <v>5</v>
      </c>
      <c r="AG14" s="10">
        <f t="shared" si="0"/>
        <v>242</v>
      </c>
      <c r="AH14" s="10">
        <f>AG14+JUILLET!AH14</f>
        <v>1153</v>
      </c>
    </row>
    <row r="15" ht="25.35" customHeight="1" spans="1:34">
      <c r="A15" s="7" t="s">
        <v>17</v>
      </c>
      <c r="B15" s="8">
        <v>0</v>
      </c>
      <c r="C15" s="8">
        <v>0</v>
      </c>
      <c r="D15" s="8">
        <v>14</v>
      </c>
      <c r="E15" s="8">
        <v>0</v>
      </c>
      <c r="F15" s="8">
        <v>37</v>
      </c>
      <c r="G15" s="8">
        <v>0</v>
      </c>
      <c r="H15" s="8">
        <v>0</v>
      </c>
      <c r="I15" s="8">
        <v>9</v>
      </c>
      <c r="J15" s="8">
        <v>0</v>
      </c>
      <c r="K15" s="8">
        <v>0</v>
      </c>
      <c r="L15" s="8">
        <v>40</v>
      </c>
      <c r="M15" s="8">
        <v>2</v>
      </c>
      <c r="N15" s="8">
        <v>11</v>
      </c>
      <c r="O15" s="8">
        <v>14</v>
      </c>
      <c r="P15" s="8">
        <v>13</v>
      </c>
      <c r="Q15" s="8">
        <v>0</v>
      </c>
      <c r="R15" s="8">
        <v>0</v>
      </c>
      <c r="S15" s="8">
        <v>0</v>
      </c>
      <c r="T15" s="8">
        <v>11</v>
      </c>
      <c r="U15" s="8">
        <v>0</v>
      </c>
      <c r="V15" s="8">
        <v>0</v>
      </c>
      <c r="W15" s="8">
        <v>0</v>
      </c>
      <c r="X15" s="8">
        <v>3</v>
      </c>
      <c r="Y15" s="8">
        <v>15</v>
      </c>
      <c r="Z15" s="8">
        <v>2</v>
      </c>
      <c r="AA15" s="8">
        <v>19</v>
      </c>
      <c r="AB15" s="8">
        <v>0</v>
      </c>
      <c r="AC15" s="8">
        <v>82</v>
      </c>
      <c r="AD15" s="8">
        <v>0</v>
      </c>
      <c r="AE15" s="8">
        <v>9</v>
      </c>
      <c r="AF15" s="8">
        <v>0</v>
      </c>
      <c r="AG15" s="10">
        <f t="shared" si="0"/>
        <v>281</v>
      </c>
      <c r="AH15" s="10">
        <f>AG15+JUILLET!AH15</f>
        <v>924</v>
      </c>
    </row>
    <row r="16" ht="25.35" customHeight="1" spans="1:34">
      <c r="A16" s="7" t="s">
        <v>18</v>
      </c>
      <c r="B16" s="8">
        <v>0</v>
      </c>
      <c r="C16" s="8">
        <v>41</v>
      </c>
      <c r="D16" s="8">
        <v>7</v>
      </c>
      <c r="E16" s="8">
        <v>0</v>
      </c>
      <c r="F16" s="8">
        <v>0</v>
      </c>
      <c r="G16" s="8">
        <v>0</v>
      </c>
      <c r="H16" s="8">
        <v>4</v>
      </c>
      <c r="I16" s="8">
        <v>0</v>
      </c>
      <c r="J16" s="8">
        <v>5</v>
      </c>
      <c r="K16" s="8">
        <v>20</v>
      </c>
      <c r="L16" s="8">
        <v>0</v>
      </c>
      <c r="M16" s="8">
        <v>0</v>
      </c>
      <c r="N16" s="8">
        <v>0</v>
      </c>
      <c r="O16" s="8">
        <v>0</v>
      </c>
      <c r="P16" s="8">
        <v>22</v>
      </c>
      <c r="Q16" s="8">
        <v>45</v>
      </c>
      <c r="R16" s="8">
        <v>5</v>
      </c>
      <c r="S16" s="8">
        <v>0</v>
      </c>
      <c r="T16" s="8">
        <v>9</v>
      </c>
      <c r="U16" s="8">
        <v>10</v>
      </c>
      <c r="V16" s="8">
        <v>0</v>
      </c>
      <c r="W16" s="8">
        <v>0</v>
      </c>
      <c r="X16" s="8">
        <v>5</v>
      </c>
      <c r="Y16" s="8">
        <v>0</v>
      </c>
      <c r="Z16" s="8">
        <v>2</v>
      </c>
      <c r="AA16" s="8">
        <v>1</v>
      </c>
      <c r="AB16" s="8">
        <v>0</v>
      </c>
      <c r="AC16" s="8">
        <v>34</v>
      </c>
      <c r="AD16" s="8">
        <v>0</v>
      </c>
      <c r="AE16" s="8">
        <v>0</v>
      </c>
      <c r="AF16" s="8">
        <v>5</v>
      </c>
      <c r="AG16" s="10">
        <f t="shared" si="0"/>
        <v>215</v>
      </c>
      <c r="AH16" s="10">
        <f>AG16+JUILLET!AH16</f>
        <v>916</v>
      </c>
    </row>
    <row r="17" ht="25.35" customHeight="1" spans="1:34">
      <c r="A17" s="7" t="s">
        <v>13</v>
      </c>
      <c r="B17" s="8">
        <v>6</v>
      </c>
      <c r="C17" s="8">
        <v>26</v>
      </c>
      <c r="D17" s="8">
        <v>9</v>
      </c>
      <c r="E17" s="8">
        <v>0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>
        <v>28</v>
      </c>
      <c r="L17" s="8">
        <v>35</v>
      </c>
      <c r="M17" s="8">
        <v>1</v>
      </c>
      <c r="N17" s="8">
        <v>39</v>
      </c>
      <c r="O17" s="8">
        <v>8</v>
      </c>
      <c r="P17" s="8">
        <v>14</v>
      </c>
      <c r="Q17" s="8">
        <v>0</v>
      </c>
      <c r="R17" s="8">
        <v>5</v>
      </c>
      <c r="S17" s="8">
        <v>0</v>
      </c>
      <c r="T17" s="8">
        <v>3</v>
      </c>
      <c r="U17" s="8">
        <v>41</v>
      </c>
      <c r="V17" s="8">
        <v>0</v>
      </c>
      <c r="W17" s="8">
        <v>4</v>
      </c>
      <c r="X17" s="8">
        <v>7</v>
      </c>
      <c r="Y17" s="8">
        <v>4</v>
      </c>
      <c r="Z17" s="8">
        <v>2</v>
      </c>
      <c r="AA17" s="8">
        <v>7</v>
      </c>
      <c r="AB17" s="8">
        <v>7</v>
      </c>
      <c r="AC17" s="8">
        <v>1</v>
      </c>
      <c r="AD17" s="8">
        <v>0</v>
      </c>
      <c r="AE17" s="8">
        <v>0</v>
      </c>
      <c r="AF17" s="8">
        <v>9</v>
      </c>
      <c r="AG17" s="10">
        <f t="shared" si="0"/>
        <v>262</v>
      </c>
      <c r="AH17" s="10">
        <f>AG17+JUILLET!AH17</f>
        <v>1302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17"/>
  <sheetViews>
    <sheetView workbookViewId="0">
      <selection activeCell="AB8" sqref="AB8"/>
    </sheetView>
  </sheetViews>
  <sheetFormatPr defaultColWidth="11" defaultRowHeight="15"/>
  <cols>
    <col min="1" max="1" width="12" customWidth="1"/>
    <col min="2" max="32" width="3.71428571428571" customWidth="1"/>
    <col min="33" max="33" width="5.42857142857143" customWidth="1"/>
    <col min="34" max="34" width="6.28571428571429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>
        <v>21</v>
      </c>
      <c r="E8" s="8">
        <v>0</v>
      </c>
      <c r="F8" s="8">
        <v>1</v>
      </c>
      <c r="G8" s="8">
        <v>0</v>
      </c>
      <c r="H8" s="8">
        <v>0</v>
      </c>
      <c r="I8" s="8">
        <v>10</v>
      </c>
      <c r="J8" s="8">
        <v>6</v>
      </c>
      <c r="K8" s="8">
        <v>0</v>
      </c>
      <c r="L8" s="8">
        <v>0</v>
      </c>
      <c r="M8" s="8">
        <v>0</v>
      </c>
      <c r="N8" s="8">
        <v>13</v>
      </c>
      <c r="O8" s="8">
        <v>0</v>
      </c>
      <c r="P8" s="8">
        <v>2</v>
      </c>
      <c r="Q8" s="8">
        <v>2</v>
      </c>
      <c r="R8" s="8">
        <v>0</v>
      </c>
      <c r="S8" s="8">
        <v>0</v>
      </c>
      <c r="T8" s="8">
        <v>18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5</v>
      </c>
      <c r="AD8" s="8">
        <v>0</v>
      </c>
      <c r="AE8" s="8">
        <v>0</v>
      </c>
      <c r="AF8" s="8"/>
      <c r="AG8" s="10">
        <f t="shared" ref="AG8:AG17" si="0">SUM(B8:AF8)</f>
        <v>78</v>
      </c>
      <c r="AH8" s="10">
        <f>AOÛT!AH8+AG8</f>
        <v>856</v>
      </c>
    </row>
    <row r="9" ht="25.35" customHeight="1" spans="1:34">
      <c r="A9" s="7" t="s">
        <v>6</v>
      </c>
      <c r="B9" s="8">
        <v>0</v>
      </c>
      <c r="C9" s="8">
        <v>33</v>
      </c>
      <c r="D9" s="8">
        <v>0</v>
      </c>
      <c r="E9" s="8">
        <v>0</v>
      </c>
      <c r="F9" s="8">
        <v>0</v>
      </c>
      <c r="G9" s="8">
        <v>17</v>
      </c>
      <c r="H9" s="8">
        <v>0</v>
      </c>
      <c r="I9" s="8">
        <v>16</v>
      </c>
      <c r="J9" s="8">
        <v>1</v>
      </c>
      <c r="K9" s="8">
        <v>0</v>
      </c>
      <c r="L9" s="8">
        <v>0</v>
      </c>
      <c r="M9" s="8">
        <v>0</v>
      </c>
      <c r="N9" s="8">
        <v>14</v>
      </c>
      <c r="O9" s="8">
        <v>1</v>
      </c>
      <c r="P9" s="8">
        <v>20</v>
      </c>
      <c r="Q9" s="8">
        <v>7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1</v>
      </c>
      <c r="Y9" s="8">
        <v>0</v>
      </c>
      <c r="Z9" s="8">
        <v>15</v>
      </c>
      <c r="AA9" s="8">
        <v>0</v>
      </c>
      <c r="AB9" s="8">
        <v>0</v>
      </c>
      <c r="AC9" s="8">
        <v>29</v>
      </c>
      <c r="AD9" s="8">
        <v>0</v>
      </c>
      <c r="AE9" s="8">
        <v>0</v>
      </c>
      <c r="AF9" s="8"/>
      <c r="AG9" s="10">
        <f t="shared" si="0"/>
        <v>154</v>
      </c>
      <c r="AH9" s="10">
        <f>AOÛT!AH9+AG9</f>
        <v>890</v>
      </c>
    </row>
    <row r="10" ht="25.35" customHeight="1" spans="1:34">
      <c r="A10" s="7" t="s">
        <v>7</v>
      </c>
      <c r="B10" s="8">
        <v>0</v>
      </c>
      <c r="C10" s="8">
        <v>14</v>
      </c>
      <c r="D10" s="8">
        <v>9</v>
      </c>
      <c r="E10" s="8">
        <v>0</v>
      </c>
      <c r="F10" s="8">
        <v>0</v>
      </c>
      <c r="G10" s="8">
        <v>5</v>
      </c>
      <c r="H10" s="8">
        <v>0</v>
      </c>
      <c r="I10" s="8">
        <v>30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6</v>
      </c>
      <c r="Q10" s="8">
        <v>15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32</v>
      </c>
      <c r="AD10" s="8">
        <v>0</v>
      </c>
      <c r="AE10" s="8">
        <v>0</v>
      </c>
      <c r="AF10" s="8"/>
      <c r="AG10" s="10">
        <f t="shared" si="0"/>
        <v>111</v>
      </c>
      <c r="AH10" s="10">
        <f>AOÛT!AH10+AG10</f>
        <v>1044</v>
      </c>
    </row>
    <row r="11" ht="25.35" customHeight="1" spans="1:34">
      <c r="A11" s="7" t="s">
        <v>8</v>
      </c>
      <c r="B11" s="8">
        <v>0</v>
      </c>
      <c r="C11" s="8">
        <v>6</v>
      </c>
      <c r="D11" s="8">
        <v>8</v>
      </c>
      <c r="E11" s="8">
        <v>0</v>
      </c>
      <c r="F11" s="8">
        <v>0</v>
      </c>
      <c r="G11" s="8">
        <v>30</v>
      </c>
      <c r="H11" s="8">
        <v>0</v>
      </c>
      <c r="I11" s="8">
        <v>3</v>
      </c>
      <c r="J11" s="8">
        <v>0</v>
      </c>
      <c r="K11" s="8">
        <v>0</v>
      </c>
      <c r="L11" s="8">
        <v>0</v>
      </c>
      <c r="M11" s="8">
        <v>0</v>
      </c>
      <c r="N11" s="8">
        <v>30</v>
      </c>
      <c r="O11" s="8">
        <v>5</v>
      </c>
      <c r="P11" s="8">
        <v>7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0</v>
      </c>
      <c r="AA11" s="8">
        <v>0</v>
      </c>
      <c r="AB11" s="8">
        <v>0</v>
      </c>
      <c r="AC11" s="8">
        <v>22</v>
      </c>
      <c r="AD11" s="8">
        <v>6</v>
      </c>
      <c r="AE11" s="8">
        <v>0</v>
      </c>
      <c r="AF11" s="8"/>
      <c r="AG11" s="10">
        <f t="shared" si="0"/>
        <v>119</v>
      </c>
      <c r="AH11" s="10">
        <f>AOÛT!AH11+AG11</f>
        <v>744</v>
      </c>
    </row>
    <row r="12" ht="25.35" customHeight="1" spans="1:34">
      <c r="A12" s="7" t="s">
        <v>9</v>
      </c>
      <c r="B12" s="8">
        <v>0</v>
      </c>
      <c r="C12" s="8">
        <v>35</v>
      </c>
      <c r="D12" s="8">
        <v>0</v>
      </c>
      <c r="E12" s="8">
        <v>0</v>
      </c>
      <c r="F12" s="8">
        <v>0</v>
      </c>
      <c r="G12" s="8">
        <v>15</v>
      </c>
      <c r="H12" s="8">
        <v>0</v>
      </c>
      <c r="I12" s="8">
        <v>0</v>
      </c>
      <c r="J12" s="8">
        <v>7</v>
      </c>
      <c r="K12" s="8">
        <v>0</v>
      </c>
      <c r="L12" s="8">
        <v>0</v>
      </c>
      <c r="M12" s="8">
        <v>0</v>
      </c>
      <c r="N12" s="8">
        <v>25</v>
      </c>
      <c r="O12" s="8">
        <v>1</v>
      </c>
      <c r="P12" s="8">
        <v>3</v>
      </c>
      <c r="Q12" s="8">
        <v>3</v>
      </c>
      <c r="R12" s="8">
        <v>0</v>
      </c>
      <c r="S12" s="8">
        <v>0</v>
      </c>
      <c r="T12" s="8">
        <v>40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2</v>
      </c>
      <c r="AA12" s="8">
        <v>0</v>
      </c>
      <c r="AB12" s="8">
        <v>0</v>
      </c>
      <c r="AC12" s="8">
        <v>50</v>
      </c>
      <c r="AD12" s="8">
        <v>3</v>
      </c>
      <c r="AE12" s="8">
        <v>0</v>
      </c>
      <c r="AF12" s="8"/>
      <c r="AG12" s="10">
        <f t="shared" si="0"/>
        <v>184</v>
      </c>
      <c r="AH12" s="10">
        <f>AOÛT!AH12+AG12</f>
        <v>872</v>
      </c>
    </row>
    <row r="13" ht="25.35" customHeight="1" spans="1:34">
      <c r="A13" s="7" t="s">
        <v>10</v>
      </c>
      <c r="B13" s="8">
        <v>0</v>
      </c>
      <c r="C13" s="8">
        <v>48</v>
      </c>
      <c r="D13" s="8">
        <v>0</v>
      </c>
      <c r="E13" s="8">
        <v>15</v>
      </c>
      <c r="F13" s="8">
        <v>0</v>
      </c>
      <c r="G13" s="8">
        <v>22</v>
      </c>
      <c r="H13" s="8">
        <v>0</v>
      </c>
      <c r="I13" s="8">
        <v>12</v>
      </c>
      <c r="J13" s="8">
        <v>28</v>
      </c>
      <c r="K13" s="8">
        <v>0</v>
      </c>
      <c r="L13" s="8">
        <v>4</v>
      </c>
      <c r="M13" s="8">
        <v>0</v>
      </c>
      <c r="N13" s="8">
        <v>45</v>
      </c>
      <c r="O13" s="8">
        <v>2</v>
      </c>
      <c r="P13" s="8">
        <v>0</v>
      </c>
      <c r="Q13" s="8">
        <v>0</v>
      </c>
      <c r="R13" s="8">
        <v>1</v>
      </c>
      <c r="S13" s="8">
        <v>0</v>
      </c>
      <c r="T13" s="8">
        <v>30</v>
      </c>
      <c r="U13" s="8">
        <v>0</v>
      </c>
      <c r="V13" s="8">
        <v>12</v>
      </c>
      <c r="W13" s="8">
        <v>0</v>
      </c>
      <c r="X13" s="8">
        <v>0</v>
      </c>
      <c r="Y13" s="8">
        <v>0</v>
      </c>
      <c r="Z13" s="8">
        <v>7</v>
      </c>
      <c r="AA13" s="8">
        <v>0</v>
      </c>
      <c r="AB13" s="8">
        <v>0</v>
      </c>
      <c r="AC13" s="8">
        <v>7</v>
      </c>
      <c r="AD13" s="8">
        <v>0</v>
      </c>
      <c r="AE13" s="8">
        <v>0</v>
      </c>
      <c r="AF13" s="8"/>
      <c r="AG13" s="10">
        <f t="shared" si="0"/>
        <v>233</v>
      </c>
      <c r="AH13" s="10">
        <f>AOÛT!AH13+AG13</f>
        <v>1002</v>
      </c>
    </row>
    <row r="14" ht="25.35" customHeight="1" spans="1:34">
      <c r="A14" s="7" t="s">
        <v>16</v>
      </c>
      <c r="B14" s="8">
        <v>0</v>
      </c>
      <c r="C14" s="8">
        <v>15</v>
      </c>
      <c r="D14" s="8">
        <v>0</v>
      </c>
      <c r="E14" s="8">
        <v>45</v>
      </c>
      <c r="F14" s="8">
        <v>0</v>
      </c>
      <c r="G14" s="8">
        <v>7</v>
      </c>
      <c r="H14" s="8">
        <v>19</v>
      </c>
      <c r="I14" s="8">
        <v>6</v>
      </c>
      <c r="J14" s="8">
        <v>14</v>
      </c>
      <c r="K14" s="8">
        <v>0</v>
      </c>
      <c r="L14" s="8">
        <v>6</v>
      </c>
      <c r="M14" s="8">
        <v>0</v>
      </c>
      <c r="N14" s="8">
        <v>77</v>
      </c>
      <c r="O14" s="8">
        <v>28</v>
      </c>
      <c r="P14" s="8">
        <v>0</v>
      </c>
      <c r="Q14" s="8">
        <v>14</v>
      </c>
      <c r="R14" s="8">
        <v>6</v>
      </c>
      <c r="S14" s="8">
        <v>33</v>
      </c>
      <c r="T14" s="8">
        <v>12</v>
      </c>
      <c r="U14" s="8">
        <v>0</v>
      </c>
      <c r="V14" s="8">
        <v>10</v>
      </c>
      <c r="W14" s="8">
        <v>0</v>
      </c>
      <c r="X14" s="8">
        <v>0</v>
      </c>
      <c r="Y14" s="8">
        <v>0</v>
      </c>
      <c r="Z14" s="8">
        <v>8</v>
      </c>
      <c r="AA14" s="8">
        <v>0</v>
      </c>
      <c r="AB14" s="8">
        <v>0</v>
      </c>
      <c r="AC14" s="8">
        <v>5</v>
      </c>
      <c r="AD14" s="8">
        <v>0</v>
      </c>
      <c r="AE14" s="8">
        <v>0</v>
      </c>
      <c r="AF14" s="8"/>
      <c r="AG14" s="10">
        <f t="shared" ref="AG14" si="1">SUM(B14:AF14)</f>
        <v>305</v>
      </c>
      <c r="AH14" s="10">
        <f>AOÛT!AH14+AG14</f>
        <v>1458</v>
      </c>
    </row>
    <row r="15" ht="25.35" customHeight="1" spans="1:34">
      <c r="A15" s="7" t="s">
        <v>17</v>
      </c>
      <c r="B15" s="8">
        <v>0</v>
      </c>
      <c r="C15" s="8">
        <v>31</v>
      </c>
      <c r="D15" s="8">
        <v>0</v>
      </c>
      <c r="E15" s="8">
        <v>6</v>
      </c>
      <c r="F15" s="8">
        <v>0</v>
      </c>
      <c r="G15" s="8">
        <v>13</v>
      </c>
      <c r="H15" s="8">
        <v>0</v>
      </c>
      <c r="I15" s="8">
        <v>0</v>
      </c>
      <c r="J15" s="8">
        <v>53</v>
      </c>
      <c r="K15" s="8">
        <v>6</v>
      </c>
      <c r="L15" s="8">
        <v>0</v>
      </c>
      <c r="M15" s="8">
        <v>0</v>
      </c>
      <c r="N15" s="8">
        <v>35</v>
      </c>
      <c r="O15" s="8">
        <v>41</v>
      </c>
      <c r="P15" s="8">
        <v>0</v>
      </c>
      <c r="Q15" s="8">
        <v>10</v>
      </c>
      <c r="R15" s="8">
        <v>8</v>
      </c>
      <c r="S15" s="8">
        <v>28</v>
      </c>
      <c r="T15" s="8">
        <v>0</v>
      </c>
      <c r="U15" s="8">
        <v>0</v>
      </c>
      <c r="V15" s="8">
        <v>18</v>
      </c>
      <c r="W15" s="8">
        <v>0</v>
      </c>
      <c r="X15" s="8">
        <v>15</v>
      </c>
      <c r="Y15" s="8">
        <v>0</v>
      </c>
      <c r="Z15" s="8">
        <v>0</v>
      </c>
      <c r="AA15" s="8">
        <v>0</v>
      </c>
      <c r="AB15" s="8">
        <v>25</v>
      </c>
      <c r="AC15" s="8">
        <v>0</v>
      </c>
      <c r="AD15" s="8">
        <v>0</v>
      </c>
      <c r="AE15" s="8">
        <v>0</v>
      </c>
      <c r="AF15" s="8"/>
      <c r="AG15" s="10">
        <f t="shared" si="0"/>
        <v>289</v>
      </c>
      <c r="AH15" s="10">
        <f>AOÛT!AH15+AG15</f>
        <v>1213</v>
      </c>
    </row>
    <row r="16" ht="25.35" customHeight="1" spans="1:34">
      <c r="A16" s="7" t="s">
        <v>18</v>
      </c>
      <c r="B16" s="8">
        <v>8</v>
      </c>
      <c r="C16" s="8">
        <v>35</v>
      </c>
      <c r="D16" s="8">
        <v>0</v>
      </c>
      <c r="E16" s="8">
        <v>21</v>
      </c>
      <c r="F16" s="8">
        <v>0</v>
      </c>
      <c r="G16" s="8">
        <v>8</v>
      </c>
      <c r="H16" s="8">
        <v>50</v>
      </c>
      <c r="I16" s="8">
        <v>24</v>
      </c>
      <c r="J16" s="8">
        <v>0</v>
      </c>
      <c r="K16" s="8">
        <v>75</v>
      </c>
      <c r="L16" s="8">
        <v>8</v>
      </c>
      <c r="M16" s="8">
        <v>0</v>
      </c>
      <c r="N16" s="8">
        <v>0</v>
      </c>
      <c r="O16" s="8">
        <v>37</v>
      </c>
      <c r="P16" s="8">
        <v>0</v>
      </c>
      <c r="Q16" s="8">
        <v>30</v>
      </c>
      <c r="R16" s="8">
        <v>0</v>
      </c>
      <c r="S16" s="8">
        <v>14</v>
      </c>
      <c r="T16" s="8">
        <v>0</v>
      </c>
      <c r="U16" s="8">
        <v>17</v>
      </c>
      <c r="V16" s="8">
        <v>1</v>
      </c>
      <c r="W16" s="8">
        <v>10</v>
      </c>
      <c r="X16" s="8">
        <v>2</v>
      </c>
      <c r="Y16" s="8">
        <v>0</v>
      </c>
      <c r="Z16" s="8">
        <v>11</v>
      </c>
      <c r="AA16" s="8">
        <v>2</v>
      </c>
      <c r="AB16" s="8">
        <v>0</v>
      </c>
      <c r="AC16" s="8">
        <v>7</v>
      </c>
      <c r="AD16" s="8">
        <v>15</v>
      </c>
      <c r="AE16" s="8">
        <v>0</v>
      </c>
      <c r="AF16" s="8"/>
      <c r="AG16" s="10">
        <f t="shared" si="0"/>
        <v>375</v>
      </c>
      <c r="AH16" s="10">
        <f>AOÛT!AH16+AG16</f>
        <v>1291</v>
      </c>
    </row>
    <row r="17" ht="25.35" customHeight="1" spans="1:34">
      <c r="A17" s="7" t="s">
        <v>13</v>
      </c>
      <c r="B17" s="8">
        <v>0</v>
      </c>
      <c r="C17" s="8">
        <v>47</v>
      </c>
      <c r="D17" s="8">
        <v>0</v>
      </c>
      <c r="E17" s="8">
        <v>82</v>
      </c>
      <c r="F17" s="8">
        <v>0</v>
      </c>
      <c r="G17" s="8">
        <v>0</v>
      </c>
      <c r="H17" s="8">
        <v>3</v>
      </c>
      <c r="I17" s="8">
        <v>0</v>
      </c>
      <c r="J17" s="8">
        <v>20</v>
      </c>
      <c r="K17" s="8">
        <v>36</v>
      </c>
      <c r="L17" s="8">
        <v>4</v>
      </c>
      <c r="M17" s="8">
        <v>1</v>
      </c>
      <c r="N17" s="8">
        <v>7</v>
      </c>
      <c r="O17" s="8">
        <v>4</v>
      </c>
      <c r="P17" s="8">
        <v>0</v>
      </c>
      <c r="Q17" s="8">
        <v>7</v>
      </c>
      <c r="R17" s="8">
        <v>12</v>
      </c>
      <c r="S17" s="8">
        <v>23</v>
      </c>
      <c r="T17" s="8">
        <v>0</v>
      </c>
      <c r="U17" s="8">
        <v>0</v>
      </c>
      <c r="V17" s="8">
        <v>23</v>
      </c>
      <c r="W17" s="8">
        <v>0</v>
      </c>
      <c r="X17" s="8">
        <v>15</v>
      </c>
      <c r="Y17" s="8">
        <v>0</v>
      </c>
      <c r="Z17" s="8">
        <v>6</v>
      </c>
      <c r="AA17" s="8">
        <v>0</v>
      </c>
      <c r="AB17" s="8">
        <v>0</v>
      </c>
      <c r="AC17" s="8">
        <v>26</v>
      </c>
      <c r="AD17" s="8">
        <v>2</v>
      </c>
      <c r="AE17" s="8">
        <v>5</v>
      </c>
      <c r="AF17" s="8"/>
      <c r="AG17" s="10">
        <f t="shared" si="0"/>
        <v>323</v>
      </c>
      <c r="AH17" s="10">
        <f>AOÛT!AH17+AG17</f>
        <v>1625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749992370372631"/>
  </sheetPr>
  <dimension ref="A1:AV17"/>
  <sheetViews>
    <sheetView topLeftCell="V1" workbookViewId="0">
      <selection activeCell="AB8" sqref="AB8"/>
    </sheetView>
  </sheetViews>
  <sheetFormatPr defaultColWidth="11" defaultRowHeight="15"/>
  <cols>
    <col min="1" max="1" width="12" customWidth="1"/>
    <col min="2" max="2" width="3.14285714285714" customWidth="1"/>
    <col min="3" max="3" width="3.57142857142857" customWidth="1"/>
    <col min="4" max="4" width="2.85714285714286" customWidth="1"/>
    <col min="5" max="5" width="2.14285714285714" customWidth="1"/>
    <col min="6" max="10" width="3" customWidth="1"/>
    <col min="11" max="32" width="3.28571428571429" customWidth="1"/>
    <col min="33" max="33" width="7.71428571428571" customWidth="1"/>
    <col min="34" max="34" width="6.85714285714286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48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ht="25.35" customHeight="1" spans="1:48">
      <c r="A8" s="7" t="s">
        <v>5</v>
      </c>
      <c r="B8" s="8">
        <v>19</v>
      </c>
      <c r="C8" s="8">
        <v>60</v>
      </c>
      <c r="D8" s="8">
        <v>5</v>
      </c>
      <c r="E8" s="8">
        <v>0</v>
      </c>
      <c r="F8" s="8">
        <v>0</v>
      </c>
      <c r="G8" s="8">
        <v>4</v>
      </c>
      <c r="H8" s="8">
        <v>0</v>
      </c>
      <c r="I8" s="8">
        <v>5</v>
      </c>
      <c r="J8" s="8">
        <v>5</v>
      </c>
      <c r="K8" s="8">
        <v>0</v>
      </c>
      <c r="L8" s="8">
        <v>26</v>
      </c>
      <c r="M8" s="8">
        <v>0</v>
      </c>
      <c r="N8" s="8">
        <v>0</v>
      </c>
      <c r="O8" s="8">
        <v>0</v>
      </c>
      <c r="P8" s="8">
        <v>2</v>
      </c>
      <c r="Q8" s="8">
        <v>0</v>
      </c>
      <c r="R8" s="8">
        <v>0</v>
      </c>
      <c r="S8" s="8">
        <v>0</v>
      </c>
      <c r="T8" s="8">
        <v>0</v>
      </c>
      <c r="U8" s="8">
        <v>68</v>
      </c>
      <c r="V8" s="8">
        <v>0</v>
      </c>
      <c r="W8" s="8">
        <v>0</v>
      </c>
      <c r="X8" s="8">
        <v>3</v>
      </c>
      <c r="Y8" s="8">
        <v>0</v>
      </c>
      <c r="Z8" s="8">
        <v>29</v>
      </c>
      <c r="AA8" s="8">
        <v>18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0">
        <f>SUM(B8:AF8)</f>
        <v>244</v>
      </c>
      <c r="AH8" s="10">
        <f>SEPTEMBRE!AH8+AG8</f>
        <v>1100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ht="25.35" customHeight="1" spans="1:48">
      <c r="A9" s="7" t="s">
        <v>6</v>
      </c>
      <c r="B9" s="8">
        <v>1</v>
      </c>
      <c r="C9" s="8">
        <v>0</v>
      </c>
      <c r="D9" s="8">
        <v>3</v>
      </c>
      <c r="E9" s="8">
        <v>0</v>
      </c>
      <c r="F9" s="8">
        <v>0</v>
      </c>
      <c r="G9" s="8">
        <v>0</v>
      </c>
      <c r="H9" s="8">
        <v>33</v>
      </c>
      <c r="I9" s="8">
        <v>0</v>
      </c>
      <c r="J9" s="8">
        <v>7</v>
      </c>
      <c r="K9" s="8">
        <v>0</v>
      </c>
      <c r="L9" s="8">
        <v>6</v>
      </c>
      <c r="M9" s="8">
        <v>0</v>
      </c>
      <c r="N9" s="8">
        <v>0</v>
      </c>
      <c r="O9" s="8">
        <v>9</v>
      </c>
      <c r="P9" s="8">
        <v>50</v>
      </c>
      <c r="Q9" s="8">
        <v>0</v>
      </c>
      <c r="R9" s="8">
        <v>0</v>
      </c>
      <c r="S9" s="8">
        <v>12</v>
      </c>
      <c r="T9" s="8">
        <v>0</v>
      </c>
      <c r="U9" s="8">
        <v>17</v>
      </c>
      <c r="V9" s="8">
        <v>0</v>
      </c>
      <c r="W9" s="8">
        <v>0</v>
      </c>
      <c r="X9" s="8">
        <v>2</v>
      </c>
      <c r="Y9" s="8">
        <v>1</v>
      </c>
      <c r="Z9" s="8">
        <v>10</v>
      </c>
      <c r="AA9" s="8">
        <v>8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0">
        <f t="shared" ref="AG9:AG17" si="0">SUM(B9:AF9)</f>
        <v>159</v>
      </c>
      <c r="AH9" s="10">
        <f>SEPTEMBRE!AH9+AG9</f>
        <v>1049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ht="25.35" customHeight="1" spans="1:48">
      <c r="A10" s="7" t="s">
        <v>7</v>
      </c>
      <c r="B10" s="8">
        <v>0</v>
      </c>
      <c r="C10" s="8">
        <v>0</v>
      </c>
      <c r="D10" s="8">
        <v>32</v>
      </c>
      <c r="E10" s="8">
        <v>0</v>
      </c>
      <c r="F10" s="8">
        <v>0</v>
      </c>
      <c r="G10" s="8">
        <v>4</v>
      </c>
      <c r="H10" s="8">
        <v>0</v>
      </c>
      <c r="I10" s="8">
        <v>0</v>
      </c>
      <c r="J10" s="8">
        <v>14</v>
      </c>
      <c r="K10" s="8">
        <v>0</v>
      </c>
      <c r="L10" s="8">
        <v>5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15</v>
      </c>
      <c r="T10" s="8">
        <v>0</v>
      </c>
      <c r="U10" s="8">
        <v>19</v>
      </c>
      <c r="V10" s="8">
        <v>0</v>
      </c>
      <c r="W10" s="8">
        <v>0</v>
      </c>
      <c r="X10" s="8">
        <v>5</v>
      </c>
      <c r="Y10" s="8">
        <v>0</v>
      </c>
      <c r="Z10" s="8">
        <v>21</v>
      </c>
      <c r="AA10" s="8">
        <v>3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0">
        <f t="shared" si="0"/>
        <v>118</v>
      </c>
      <c r="AH10" s="10">
        <f>SEPTEMBRE!AH10+AG10</f>
        <v>1162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ht="25.35" customHeight="1" spans="1:48">
      <c r="A11" s="7" t="s">
        <v>8</v>
      </c>
      <c r="B11" s="8">
        <v>0</v>
      </c>
      <c r="C11" s="8">
        <v>0</v>
      </c>
      <c r="D11" s="8">
        <v>7</v>
      </c>
      <c r="E11" s="8">
        <v>0</v>
      </c>
      <c r="F11" s="8">
        <v>0</v>
      </c>
      <c r="G11" s="8">
        <v>0</v>
      </c>
      <c r="H11" s="8">
        <v>0</v>
      </c>
      <c r="I11" s="8">
        <v>7</v>
      </c>
      <c r="J11" s="8">
        <v>11</v>
      </c>
      <c r="K11" s="8">
        <v>0</v>
      </c>
      <c r="L11" s="8">
        <v>10</v>
      </c>
      <c r="M11" s="8">
        <v>0</v>
      </c>
      <c r="N11" s="8">
        <v>0</v>
      </c>
      <c r="O11" s="8">
        <v>10</v>
      </c>
      <c r="P11" s="8">
        <v>1</v>
      </c>
      <c r="Q11" s="8">
        <v>0</v>
      </c>
      <c r="R11" s="8">
        <v>0</v>
      </c>
      <c r="S11" s="8">
        <v>16</v>
      </c>
      <c r="T11" s="8">
        <v>0</v>
      </c>
      <c r="U11" s="8">
        <v>10</v>
      </c>
      <c r="V11" s="8">
        <v>0</v>
      </c>
      <c r="W11" s="8">
        <v>0</v>
      </c>
      <c r="X11" s="8">
        <v>6</v>
      </c>
      <c r="Y11" s="8">
        <v>0</v>
      </c>
      <c r="Z11" s="8">
        <v>30</v>
      </c>
      <c r="AA11" s="8">
        <v>33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0">
        <f t="shared" si="0"/>
        <v>141</v>
      </c>
      <c r="AH11" s="10">
        <f>SEPTEMBRE!AH11+AG11</f>
        <v>885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ht="25.35" customHeight="1" spans="1:48">
      <c r="A12" s="7" t="s">
        <v>9</v>
      </c>
      <c r="B12" s="8">
        <v>0</v>
      </c>
      <c r="C12" s="8">
        <v>0</v>
      </c>
      <c r="D12" s="8">
        <v>10</v>
      </c>
      <c r="E12" s="8">
        <v>0</v>
      </c>
      <c r="F12" s="8">
        <v>0</v>
      </c>
      <c r="G12" s="8">
        <v>45</v>
      </c>
      <c r="H12" s="8">
        <v>0</v>
      </c>
      <c r="I12" s="8">
        <v>0</v>
      </c>
      <c r="J12" s="8">
        <v>2</v>
      </c>
      <c r="K12" s="8">
        <v>0</v>
      </c>
      <c r="L12" s="8">
        <v>9</v>
      </c>
      <c r="M12" s="8">
        <v>0</v>
      </c>
      <c r="N12" s="8">
        <v>0</v>
      </c>
      <c r="O12" s="8">
        <v>0</v>
      </c>
      <c r="P12" s="8">
        <v>12</v>
      </c>
      <c r="Q12" s="8">
        <v>0</v>
      </c>
      <c r="R12" s="8">
        <v>0</v>
      </c>
      <c r="S12" s="8">
        <v>22</v>
      </c>
      <c r="T12" s="8">
        <v>0</v>
      </c>
      <c r="U12" s="8">
        <v>0</v>
      </c>
      <c r="V12" s="8">
        <v>0</v>
      </c>
      <c r="W12" s="8">
        <v>10</v>
      </c>
      <c r="X12" s="8">
        <v>14</v>
      </c>
      <c r="Y12" s="8">
        <v>0</v>
      </c>
      <c r="Z12" s="8">
        <v>0</v>
      </c>
      <c r="AA12" s="8">
        <v>45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0">
        <f t="shared" si="0"/>
        <v>169</v>
      </c>
      <c r="AH12" s="10">
        <f>SEPTEMBRE!AH12+AG12</f>
        <v>1041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ht="25.35" customHeight="1" spans="1:48">
      <c r="A13" s="7" t="s">
        <v>10</v>
      </c>
      <c r="B13" s="8">
        <v>0</v>
      </c>
      <c r="C13" s="8">
        <v>0</v>
      </c>
      <c r="D13" s="8">
        <v>30</v>
      </c>
      <c r="E13" s="8">
        <v>0</v>
      </c>
      <c r="F13" s="8">
        <v>44</v>
      </c>
      <c r="G13" s="8">
        <v>42</v>
      </c>
      <c r="H13" s="8">
        <v>0</v>
      </c>
      <c r="I13" s="8">
        <v>0</v>
      </c>
      <c r="J13" s="8">
        <v>1</v>
      </c>
      <c r="K13" s="8">
        <v>0</v>
      </c>
      <c r="L13" s="8">
        <v>6</v>
      </c>
      <c r="M13" s="8">
        <v>0</v>
      </c>
      <c r="N13" s="8">
        <v>0</v>
      </c>
      <c r="O13" s="8">
        <v>0</v>
      </c>
      <c r="P13" s="8">
        <v>15</v>
      </c>
      <c r="Q13" s="8">
        <v>0</v>
      </c>
      <c r="R13" s="8">
        <v>1</v>
      </c>
      <c r="S13" s="8">
        <v>2</v>
      </c>
      <c r="T13" s="8">
        <v>0</v>
      </c>
      <c r="U13" s="8">
        <v>0</v>
      </c>
      <c r="V13" s="8">
        <v>0</v>
      </c>
      <c r="W13" s="8">
        <v>1</v>
      </c>
      <c r="X13" s="8">
        <v>3</v>
      </c>
      <c r="Y13" s="8">
        <v>0</v>
      </c>
      <c r="Z13" s="8">
        <v>6</v>
      </c>
      <c r="AA13" s="8">
        <v>35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0">
        <f t="shared" si="0"/>
        <v>186</v>
      </c>
      <c r="AH13" s="10">
        <f>SEPTEMBRE!AH13+AG13</f>
        <v>1188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ht="25.35" customHeight="1" spans="1:48">
      <c r="A14" s="7" t="s">
        <v>16</v>
      </c>
      <c r="B14" s="8">
        <v>0</v>
      </c>
      <c r="C14" s="8">
        <v>10</v>
      </c>
      <c r="D14" s="8">
        <v>60</v>
      </c>
      <c r="E14" s="8">
        <v>0</v>
      </c>
      <c r="F14" s="8">
        <v>2</v>
      </c>
      <c r="G14" s="8">
        <v>0</v>
      </c>
      <c r="H14" s="8">
        <v>3</v>
      </c>
      <c r="I14" s="8">
        <v>0</v>
      </c>
      <c r="J14" s="8">
        <v>9</v>
      </c>
      <c r="K14" s="8">
        <v>0</v>
      </c>
      <c r="L14" s="8">
        <v>4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18</v>
      </c>
      <c r="S14" s="8">
        <v>20</v>
      </c>
      <c r="T14" s="8">
        <v>10</v>
      </c>
      <c r="U14" s="8">
        <v>19</v>
      </c>
      <c r="V14" s="8">
        <v>0</v>
      </c>
      <c r="W14" s="8">
        <v>1</v>
      </c>
      <c r="X14" s="8">
        <v>23</v>
      </c>
      <c r="Y14" s="8">
        <v>0</v>
      </c>
      <c r="Z14" s="8">
        <v>8</v>
      </c>
      <c r="AA14" s="8">
        <v>27</v>
      </c>
      <c r="AB14" s="8">
        <v>0</v>
      </c>
      <c r="AC14" s="8">
        <v>0</v>
      </c>
      <c r="AD14" s="8">
        <v>0</v>
      </c>
      <c r="AE14" s="8">
        <v>11</v>
      </c>
      <c r="AF14" s="8">
        <v>0</v>
      </c>
      <c r="AG14" s="10">
        <f t="shared" ref="AG14" si="1">SUM(B14:AF14)</f>
        <v>225</v>
      </c>
      <c r="AH14" s="10">
        <f>SEPTEMBRE!AH14+AG14</f>
        <v>1683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ht="25.35" customHeight="1" spans="1:48">
      <c r="A15" s="7" t="s">
        <v>17</v>
      </c>
      <c r="B15" s="8">
        <v>3</v>
      </c>
      <c r="C15" s="8">
        <v>19</v>
      </c>
      <c r="D15" s="8">
        <v>0</v>
      </c>
      <c r="E15" s="8">
        <v>0</v>
      </c>
      <c r="F15" s="8">
        <v>0</v>
      </c>
      <c r="G15" s="8">
        <v>10</v>
      </c>
      <c r="H15" s="8">
        <v>8</v>
      </c>
      <c r="I15" s="8">
        <v>5</v>
      </c>
      <c r="J15" s="8">
        <v>2</v>
      </c>
      <c r="K15" s="8">
        <v>0</v>
      </c>
      <c r="L15" s="8">
        <v>9</v>
      </c>
      <c r="M15" s="8">
        <v>0</v>
      </c>
      <c r="N15" s="8">
        <v>0</v>
      </c>
      <c r="O15" s="8">
        <v>0</v>
      </c>
      <c r="P15" s="8">
        <v>11</v>
      </c>
      <c r="Q15" s="8">
        <v>0</v>
      </c>
      <c r="R15" s="8">
        <v>6</v>
      </c>
      <c r="S15" s="8">
        <v>15</v>
      </c>
      <c r="T15" s="8">
        <v>1</v>
      </c>
      <c r="U15" s="8">
        <v>3</v>
      </c>
      <c r="V15" s="8">
        <v>0</v>
      </c>
      <c r="W15" s="8">
        <v>42</v>
      </c>
      <c r="X15" s="8">
        <v>30</v>
      </c>
      <c r="Y15" s="8">
        <v>0</v>
      </c>
      <c r="Z15" s="8">
        <v>23</v>
      </c>
      <c r="AA15" s="8">
        <v>38</v>
      </c>
      <c r="AB15" s="8">
        <v>0</v>
      </c>
      <c r="AC15" s="8">
        <v>0</v>
      </c>
      <c r="AD15" s="8">
        <v>0</v>
      </c>
      <c r="AE15" s="8">
        <v>0</v>
      </c>
      <c r="AF15" s="8">
        <v>8</v>
      </c>
      <c r="AG15" s="10">
        <f t="shared" si="0"/>
        <v>233</v>
      </c>
      <c r="AH15" s="10">
        <f>SEPTEMBRE!AH15+AG15</f>
        <v>1446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ht="25.35" customHeight="1" spans="1:48">
      <c r="A16" s="7" t="s">
        <v>18</v>
      </c>
      <c r="B16" s="8">
        <v>10</v>
      </c>
      <c r="C16" s="8">
        <v>10</v>
      </c>
      <c r="D16" s="8">
        <v>2</v>
      </c>
      <c r="E16" s="8">
        <v>0</v>
      </c>
      <c r="F16" s="8">
        <v>3</v>
      </c>
      <c r="G16" s="8">
        <v>35</v>
      </c>
      <c r="H16" s="8">
        <v>2</v>
      </c>
      <c r="I16" s="8">
        <v>0</v>
      </c>
      <c r="J16" s="8">
        <v>15</v>
      </c>
      <c r="K16" s="8">
        <v>0</v>
      </c>
      <c r="L16" s="8">
        <v>6</v>
      </c>
      <c r="M16" s="8">
        <v>0</v>
      </c>
      <c r="N16" s="8">
        <v>0</v>
      </c>
      <c r="O16" s="8">
        <v>0</v>
      </c>
      <c r="P16" s="8">
        <v>14</v>
      </c>
      <c r="Q16" s="8">
        <v>0</v>
      </c>
      <c r="R16" s="8">
        <v>10</v>
      </c>
      <c r="S16" s="8">
        <v>0</v>
      </c>
      <c r="T16" s="8">
        <v>10</v>
      </c>
      <c r="U16" s="8">
        <v>15</v>
      </c>
      <c r="V16" s="8">
        <v>0</v>
      </c>
      <c r="W16" s="8">
        <v>10</v>
      </c>
      <c r="X16" s="8">
        <v>17</v>
      </c>
      <c r="Y16" s="8">
        <v>0</v>
      </c>
      <c r="Z16" s="8">
        <v>17</v>
      </c>
      <c r="AA16" s="8">
        <v>60</v>
      </c>
      <c r="AB16" s="8">
        <v>5</v>
      </c>
      <c r="AC16" s="8">
        <v>0</v>
      </c>
      <c r="AD16" s="8">
        <v>0</v>
      </c>
      <c r="AE16" s="8">
        <v>0</v>
      </c>
      <c r="AF16" s="8">
        <v>0</v>
      </c>
      <c r="AG16" s="10">
        <f t="shared" si="0"/>
        <v>241</v>
      </c>
      <c r="AH16" s="10">
        <f>SEPTEMBRE!AH16+AG16</f>
        <v>1532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ht="25.35" customHeight="1" spans="1:34">
      <c r="A17" s="7" t="s">
        <v>13</v>
      </c>
      <c r="B17" s="8">
        <v>5</v>
      </c>
      <c r="C17" s="8">
        <v>8</v>
      </c>
      <c r="D17" s="8">
        <v>0</v>
      </c>
      <c r="E17" s="8">
        <v>3</v>
      </c>
      <c r="F17" s="8">
        <v>0</v>
      </c>
      <c r="G17" s="8">
        <v>8</v>
      </c>
      <c r="H17" s="8">
        <v>1</v>
      </c>
      <c r="I17" s="8">
        <v>15</v>
      </c>
      <c r="J17" s="8">
        <v>29</v>
      </c>
      <c r="K17" s="8">
        <v>0</v>
      </c>
      <c r="L17" s="8">
        <v>5</v>
      </c>
      <c r="M17" s="8">
        <v>0</v>
      </c>
      <c r="N17" s="8">
        <v>0</v>
      </c>
      <c r="O17" s="8">
        <v>0</v>
      </c>
      <c r="P17" s="8">
        <v>72</v>
      </c>
      <c r="Q17" s="8">
        <v>0</v>
      </c>
      <c r="R17" s="8">
        <v>1</v>
      </c>
      <c r="S17" s="8">
        <v>1</v>
      </c>
      <c r="T17" s="8">
        <v>0</v>
      </c>
      <c r="U17" s="8">
        <v>41</v>
      </c>
      <c r="V17" s="8">
        <v>3</v>
      </c>
      <c r="W17" s="8">
        <v>15</v>
      </c>
      <c r="X17" s="8">
        <v>11</v>
      </c>
      <c r="Y17" s="8">
        <v>0</v>
      </c>
      <c r="Z17" s="8">
        <v>3</v>
      </c>
      <c r="AA17" s="8">
        <v>0</v>
      </c>
      <c r="AB17" s="8">
        <v>14</v>
      </c>
      <c r="AC17" s="8">
        <v>0</v>
      </c>
      <c r="AD17" s="8">
        <v>0</v>
      </c>
      <c r="AE17" s="8">
        <v>0</v>
      </c>
      <c r="AF17" s="8">
        <v>0</v>
      </c>
      <c r="AG17" s="10">
        <f t="shared" si="0"/>
        <v>235</v>
      </c>
      <c r="AH17" s="10">
        <f>SEPTEMBRE!AH17+AG17</f>
        <v>1860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"/>
  <sheetViews>
    <sheetView topLeftCell="A2" workbookViewId="0">
      <selection activeCell="AB8" sqref="AB8"/>
    </sheetView>
  </sheetViews>
  <sheetFormatPr defaultColWidth="11" defaultRowHeight="15"/>
  <cols>
    <col min="1" max="1" width="12" customWidth="1"/>
    <col min="2" max="32" width="3.71428571428571" customWidth="1"/>
    <col min="33" max="33" width="5.71428571428571" customWidth="1"/>
    <col min="34" max="34" width="6.71428571428571" customWidth="1"/>
  </cols>
  <sheetData>
    <row r="1" ht="17.25" spans="1:1">
      <c r="A1" s="1" t="s">
        <v>0</v>
      </c>
    </row>
    <row r="3" ht="15.75" spans="1:3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ht="15.75" spans="1:34">
      <c r="A5" s="3" t="s">
        <v>27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7" spans="1:34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  <c r="AF7" s="6">
        <v>31</v>
      </c>
      <c r="AG7" s="9" t="s">
        <v>4</v>
      </c>
      <c r="AH7" s="9" t="s">
        <v>15</v>
      </c>
    </row>
    <row r="8" ht="25.35" customHeight="1" spans="1:34">
      <c r="A8" s="7" t="s">
        <v>5</v>
      </c>
      <c r="B8" s="8">
        <v>0</v>
      </c>
      <c r="C8" s="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0">
        <f>SUM(B8:AF8)</f>
        <v>0</v>
      </c>
      <c r="AH8" s="10">
        <f>OCTOBRE!AH8+AG8</f>
        <v>1100</v>
      </c>
    </row>
    <row r="9" ht="25.35" customHeight="1" spans="1:34">
      <c r="A9" s="7" t="s">
        <v>6</v>
      </c>
      <c r="B9" s="8">
        <v>0</v>
      </c>
      <c r="C9" s="8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>
        <f t="shared" ref="AG9:AG17" si="0">SUM(B9:AF9)</f>
        <v>0</v>
      </c>
      <c r="AH9" s="10">
        <f>OCTOBRE!AH9+AG9</f>
        <v>1049</v>
      </c>
    </row>
    <row r="10" ht="25.35" customHeight="1" spans="1:34">
      <c r="A10" s="7" t="s">
        <v>7</v>
      </c>
      <c r="B10" s="8">
        <v>0</v>
      </c>
      <c r="C10" s="8"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0">
        <f t="shared" si="0"/>
        <v>0</v>
      </c>
      <c r="AH10" s="10">
        <f>OCTOBRE!AH10+AG10</f>
        <v>1162</v>
      </c>
    </row>
    <row r="11" ht="25.35" customHeight="1" spans="1:34">
      <c r="A11" s="7" t="s">
        <v>8</v>
      </c>
      <c r="B11" s="8">
        <v>0</v>
      </c>
      <c r="C11" s="8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0">
        <f t="shared" si="0"/>
        <v>0</v>
      </c>
      <c r="AH11" s="10">
        <f>OCTOBRE!AH11+AG11</f>
        <v>885</v>
      </c>
    </row>
    <row r="12" ht="25.35" customHeight="1" spans="1:34">
      <c r="A12" s="7" t="s">
        <v>9</v>
      </c>
      <c r="B12" s="8">
        <v>0</v>
      </c>
      <c r="C12" s="8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0">
        <f t="shared" si="0"/>
        <v>0</v>
      </c>
      <c r="AH12" s="10">
        <f>OCTOBRE!AH12+AG12</f>
        <v>1041</v>
      </c>
    </row>
    <row r="13" ht="25.35" customHeight="1" spans="1:34">
      <c r="A13" s="7" t="s">
        <v>10</v>
      </c>
      <c r="B13" s="8">
        <v>0</v>
      </c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0">
        <f t="shared" si="0"/>
        <v>0</v>
      </c>
      <c r="AH13" s="10">
        <f>OCTOBRE!AH13+AG13</f>
        <v>1188</v>
      </c>
    </row>
    <row r="14" ht="25.35" customHeight="1" spans="1:34">
      <c r="A14" s="7" t="s">
        <v>16</v>
      </c>
      <c r="B14" s="8">
        <v>0</v>
      </c>
      <c r="C14" s="8">
        <v>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>
        <f t="shared" ref="AG14" si="1">SUM(B14:AF14)</f>
        <v>4</v>
      </c>
      <c r="AH14" s="10">
        <f>OCTOBRE!AH14+AG14</f>
        <v>1687</v>
      </c>
    </row>
    <row r="15" ht="25.35" customHeight="1" spans="1:34">
      <c r="A15" s="7" t="s">
        <v>17</v>
      </c>
      <c r="B15" s="8">
        <v>0</v>
      </c>
      <c r="C15" s="8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0">
        <f t="shared" si="0"/>
        <v>0</v>
      </c>
      <c r="AH15" s="10">
        <f>OCTOBRE!AH15+AG15</f>
        <v>1446</v>
      </c>
    </row>
    <row r="16" ht="25.35" customHeight="1" spans="1:34">
      <c r="A16" s="7" t="s">
        <v>18</v>
      </c>
      <c r="B16" s="8">
        <v>0</v>
      </c>
      <c r="C16" s="8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0">
        <f t="shared" si="0"/>
        <v>0</v>
      </c>
      <c r="AH16" s="10">
        <f>OCTOBRE!AH16+AG16</f>
        <v>1532</v>
      </c>
    </row>
    <row r="17" ht="25.35" customHeight="1" spans="1:34">
      <c r="A17" s="7" t="s">
        <v>13</v>
      </c>
      <c r="B17" s="8">
        <v>0</v>
      </c>
      <c r="C17" s="8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>
        <f t="shared" si="0"/>
        <v>0</v>
      </c>
      <c r="AH17" s="10">
        <f>OCTOBRE!AH17+AG17</f>
        <v>1860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IMPRIME</vt:lpstr>
      <vt:lpstr>FEVRIER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Ahidjo_Ahmadou</cp:lastModifiedBy>
  <dcterms:created xsi:type="dcterms:W3CDTF">2006-09-12T15:06:00Z</dcterms:created>
  <dcterms:modified xsi:type="dcterms:W3CDTF">2021-11-23T09:57:59Z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8DCF32A6E4F445C3AFD0CF94EA5B3321</vt:lpwstr>
  </property>
  <property fmtid="{D5CDD505-2E9C-101B-9397-08002B2CF9AE}" pid="3" name="KSOProductBuildVer">
    <vt:lpwstr>1036-11.2.0.10382</vt:lpwstr>
  </property>
</Properties>
</file>