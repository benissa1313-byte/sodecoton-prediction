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80" yWindow="300" windowWidth="14835" windowHeight="11700" firstSheet="1" activeTab="1"/>
  </bookViews>
  <sheets>
    <sheet name="IMPRIME" sheetId="1" state="hidden" r:id="rId1"/>
    <sheet name="MARS" sheetId="13" r:id="rId2"/>
    <sheet name="AVRIL" sheetId="4" r:id="rId3"/>
    <sheet name="MAI" sheetId="6" r:id="rId4"/>
    <sheet name="JUIN" sheetId="7" r:id="rId5"/>
    <sheet name="JUILLET" sheetId="8" r:id="rId6"/>
    <sheet name="AOÛT" sheetId="9" r:id="rId7"/>
    <sheet name="SEPTEMBRE" sheetId="10" r:id="rId8"/>
    <sheet name="OCTOBRE" sheetId="11" r:id="rId9"/>
    <sheet name="NOVEMBRE" sheetId="12" r:id="rId10"/>
  </sheets>
  <definedNames>
    <definedName name="_xlnm.Print_Area" localSheetId="6">AOÛT!$A$1:$AH$17</definedName>
    <definedName name="_xlnm.Print_Area" localSheetId="2">AVRIL!$A$1:$AH$17</definedName>
    <definedName name="_xlnm.Print_Area" localSheetId="0">IMPRIME!$A$1:$AG$16</definedName>
    <definedName name="_xlnm.Print_Area" localSheetId="5">JUILLET!$A$1:$AH$17</definedName>
    <definedName name="_xlnm.Print_Area" localSheetId="4">JUIN!$A$1:$AH$17</definedName>
    <definedName name="_xlnm.Print_Area" localSheetId="3">MAI!$A$1:$AH$17</definedName>
    <definedName name="_xlnm.Print_Area" localSheetId="1">MARS!$A$1:$AH$17</definedName>
    <definedName name="_xlnm.Print_Area" localSheetId="9">NOVEMBRE!$A$1:$AH$17</definedName>
    <definedName name="_xlnm.Print_Area" localSheetId="8">OCTOBRE!$A$1:$AH$17</definedName>
    <definedName name="_xlnm.Print_Area" localSheetId="7">SEPTEMBRE!$A$1:$AH$17</definedName>
  </definedNames>
  <calcPr calcId="162913"/>
</workbook>
</file>

<file path=xl/calcChain.xml><?xml version="1.0" encoding="utf-8"?>
<calcChain xmlns="http://schemas.openxmlformats.org/spreadsheetml/2006/main">
  <c r="AG14" i="13" l="1"/>
  <c r="AH14" i="13" s="1"/>
  <c r="AG14" i="6"/>
  <c r="AG14" i="7"/>
  <c r="AG14" i="8"/>
  <c r="AG14" i="9"/>
  <c r="AG14" i="10"/>
  <c r="AG14" i="11"/>
  <c r="AG14" i="12"/>
  <c r="AG14" i="4"/>
  <c r="AG17" i="13"/>
  <c r="AH17" i="13" s="1"/>
  <c r="AG16" i="13"/>
  <c r="AH16" i="13" s="1"/>
  <c r="AG15" i="13"/>
  <c r="AH15" i="13" s="1"/>
  <c r="AG13" i="13"/>
  <c r="AH13" i="13" s="1"/>
  <c r="AG12" i="13"/>
  <c r="AH12" i="13" s="1"/>
  <c r="AG11" i="13"/>
  <c r="AH11" i="13" s="1"/>
  <c r="AG10" i="13"/>
  <c r="AH10" i="13" s="1"/>
  <c r="AG9" i="13"/>
  <c r="AH9" i="13" s="1"/>
  <c r="AG8" i="13"/>
  <c r="AH8" i="13" s="1"/>
  <c r="AG17" i="12"/>
  <c r="AG16" i="12"/>
  <c r="AG15" i="12"/>
  <c r="AG13" i="12"/>
  <c r="AG12" i="12"/>
  <c r="AG11" i="12"/>
  <c r="AG10" i="12"/>
  <c r="AG9" i="12"/>
  <c r="AG8" i="12"/>
  <c r="AG17" i="11"/>
  <c r="AG16" i="11"/>
  <c r="AG15" i="11"/>
  <c r="AG13" i="11"/>
  <c r="AG12" i="11"/>
  <c r="AG11" i="11"/>
  <c r="AG10" i="11"/>
  <c r="AG9" i="11"/>
  <c r="AG8" i="11"/>
  <c r="AG17" i="10"/>
  <c r="AG16" i="10"/>
  <c r="AG15" i="10"/>
  <c r="AG13" i="10"/>
  <c r="AG12" i="10"/>
  <c r="AG11" i="10"/>
  <c r="AG10" i="10"/>
  <c r="AG9" i="10"/>
  <c r="AG8" i="10"/>
  <c r="AG17" i="9"/>
  <c r="AG16" i="9"/>
  <c r="AG15" i="9"/>
  <c r="AG13" i="9"/>
  <c r="AG12" i="9"/>
  <c r="AG11" i="9"/>
  <c r="AG10" i="9"/>
  <c r="AG9" i="9"/>
  <c r="AG8" i="9"/>
  <c r="AG17" i="8"/>
  <c r="AG16" i="8"/>
  <c r="AG15" i="8"/>
  <c r="AG13" i="8"/>
  <c r="AG12" i="8"/>
  <c r="AG11" i="8"/>
  <c r="AG10" i="8"/>
  <c r="AG9" i="8"/>
  <c r="AG8" i="8"/>
  <c r="AG17" i="7"/>
  <c r="AG16" i="7"/>
  <c r="AG15" i="7"/>
  <c r="AG13" i="7"/>
  <c r="AG12" i="7"/>
  <c r="AG11" i="7"/>
  <c r="AG10" i="7"/>
  <c r="AG9" i="7"/>
  <c r="AG8" i="7"/>
  <c r="AG17" i="6"/>
  <c r="AG16" i="6"/>
  <c r="AG15" i="6"/>
  <c r="AG13" i="6"/>
  <c r="AG12" i="6"/>
  <c r="AG11" i="6"/>
  <c r="AG10" i="6"/>
  <c r="AG9" i="6"/>
  <c r="AG8" i="6"/>
  <c r="AG9" i="4"/>
  <c r="AG10" i="4"/>
  <c r="AG11" i="4"/>
  <c r="AG12" i="4"/>
  <c r="AG13" i="4"/>
  <c r="AG15" i="4"/>
  <c r="AG16" i="4"/>
  <c r="AG17" i="4"/>
  <c r="AG8" i="4"/>
  <c r="AH8" i="4" l="1"/>
  <c r="AH9" i="4"/>
  <c r="AH9" i="6" s="1"/>
  <c r="AH9" i="7" s="1"/>
  <c r="AH9" i="8" s="1"/>
  <c r="AH9" i="9" s="1"/>
  <c r="AH9" i="10" s="1"/>
  <c r="AH9" i="11" s="1"/>
  <c r="AH9" i="12" s="1"/>
  <c r="AH10" i="4"/>
  <c r="AH11" i="4"/>
  <c r="AH11" i="6" s="1"/>
  <c r="AH11" i="7" s="1"/>
  <c r="AH11" i="8" s="1"/>
  <c r="AH11" i="9" s="1"/>
  <c r="AH11" i="10" s="1"/>
  <c r="AH11" i="11" s="1"/>
  <c r="AH11" i="12" s="1"/>
  <c r="AH12" i="4"/>
  <c r="AH12" i="6" s="1"/>
  <c r="AH12" i="7" s="1"/>
  <c r="AH12" i="8" s="1"/>
  <c r="AH12" i="9" s="1"/>
  <c r="AH12" i="10" s="1"/>
  <c r="AH12" i="11" s="1"/>
  <c r="AH12" i="12" s="1"/>
  <c r="AH13" i="4"/>
  <c r="AH14" i="4"/>
  <c r="AH15" i="4"/>
  <c r="AH15" i="6" s="1"/>
  <c r="AH15" i="7" s="1"/>
  <c r="AH15" i="8" s="1"/>
  <c r="AH15" i="9" s="1"/>
  <c r="AH15" i="10" s="1"/>
  <c r="AH15" i="11" s="1"/>
  <c r="AH15" i="12" s="1"/>
  <c r="AH16" i="4"/>
  <c r="AH17" i="4"/>
  <c r="AH17" i="6" s="1"/>
  <c r="AH17" i="7" s="1"/>
  <c r="AH17" i="8" s="1"/>
  <c r="AH17" i="9" s="1"/>
  <c r="AH17" i="10" s="1"/>
  <c r="AH17" i="11" s="1"/>
  <c r="AH17" i="12" s="1"/>
  <c r="AH14" i="6"/>
  <c r="AH14" i="7" s="1"/>
  <c r="AH14" i="8" s="1"/>
  <c r="AH14" i="9" s="1"/>
  <c r="AH14" i="10" s="1"/>
  <c r="AH14" i="11" s="1"/>
  <c r="AH14" i="12" s="1"/>
  <c r="AH8" i="6"/>
  <c r="AH8" i="7" s="1"/>
  <c r="AH8" i="8" s="1"/>
  <c r="AH8" i="9" s="1"/>
  <c r="AH8" i="10" s="1"/>
  <c r="AH8" i="11" s="1"/>
  <c r="AH8" i="12" s="1"/>
  <c r="AH13" i="6"/>
  <c r="AH13" i="7" s="1"/>
  <c r="AH13" i="8" s="1"/>
  <c r="AH13" i="9" s="1"/>
  <c r="AH13" i="10" s="1"/>
  <c r="AH13" i="11" s="1"/>
  <c r="AH13" i="12" s="1"/>
  <c r="AH10" i="6"/>
  <c r="AH10" i="7" s="1"/>
  <c r="AH10" i="8" s="1"/>
  <c r="AH10" i="9" s="1"/>
  <c r="AH10" i="10" s="1"/>
  <c r="AH10" i="11" s="1"/>
  <c r="AH10" i="12" s="1"/>
  <c r="AH16" i="6"/>
  <c r="AH16" i="7" s="1"/>
  <c r="AH16" i="8" s="1"/>
  <c r="AH16" i="9" s="1"/>
  <c r="AH16" i="10" s="1"/>
  <c r="AH16" i="11" s="1"/>
  <c r="AH16" i="12" s="1"/>
</calcChain>
</file>

<file path=xl/sharedStrings.xml><?xml version="1.0" encoding="utf-8"?>
<sst xmlns="http://schemas.openxmlformats.org/spreadsheetml/2006/main" count="158" uniqueCount="27">
  <si>
    <t>SODECOTON</t>
  </si>
  <si>
    <t>PLUVIOMETRIE JOURNALIERE ET MENSUELLE</t>
  </si>
  <si>
    <t>STATION</t>
  </si>
  <si>
    <t>TOTAUX</t>
  </si>
  <si>
    <t>GAROUA</t>
  </si>
  <si>
    <t>GUIDER</t>
  </si>
  <si>
    <t>MAROUA</t>
  </si>
  <si>
    <t>KAELE</t>
  </si>
  <si>
    <t>TCHATIBALI</t>
  </si>
  <si>
    <t>NGONG</t>
  </si>
  <si>
    <t>MAYO-GALKE</t>
  </si>
  <si>
    <t>TOUBOURO</t>
  </si>
  <si>
    <t>HOME</t>
  </si>
  <si>
    <r>
      <rPr>
        <b/>
        <sz val="12"/>
        <color theme="1"/>
        <rFont val="Calibri"/>
        <family val="2"/>
        <scheme val="minor"/>
      </rPr>
      <t>MOIS 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:_________________________________________</t>
    </r>
  </si>
  <si>
    <t>CUMUL</t>
  </si>
  <si>
    <t>POLI</t>
  </si>
  <si>
    <t>TOUBORO</t>
  </si>
  <si>
    <t>M-GALKE</t>
  </si>
  <si>
    <t>MOIS D'AVRIL 2017</t>
  </si>
  <si>
    <t>MOIS DE MARS 2017</t>
  </si>
  <si>
    <t>MOIS DE NOVEMBRE 2017</t>
  </si>
  <si>
    <t>MOIS D'OCTOBRE 2017</t>
  </si>
  <si>
    <t>MOIS DE SEPTEMBRE 2017</t>
  </si>
  <si>
    <t>MOIS D'AOÛT 2017</t>
  </si>
  <si>
    <t>MOIS DE JUILLET 2017</t>
  </si>
  <si>
    <t>MOIS DE JUIN 2017</t>
  </si>
  <si>
    <t>MOIS DE MAI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</si>
</sst>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delonSerial"/>
    </font>
    <font>
      <b/>
      <sz val="9"/>
      <color theme="1"/>
      <name val="AdelonSe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activeCell="A14" sqref="A14"/>
    </sheetView>
  </sheetViews>
  <sheetFormatPr baseColWidth="10" defaultRowHeight="15"/>
  <cols>
    <col min="1" max="1" width="12" customWidth="1"/>
    <col min="2" max="32" width="3.7109375" customWidth="1"/>
    <col min="33" max="33" width="8.85546875" customWidth="1"/>
  </cols>
  <sheetData>
    <row r="1" spans="1:33" ht="17.25">
      <c r="A1" s="3" t="s">
        <v>0</v>
      </c>
    </row>
    <row r="3" spans="1:33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5" spans="1:33" ht="15.75">
      <c r="A5" s="10" t="s">
        <v>13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7" spans="1:33">
      <c r="A7" s="2" t="s">
        <v>2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  <c r="Q7" s="4">
        <v>16</v>
      </c>
      <c r="R7" s="4">
        <v>17</v>
      </c>
      <c r="S7" s="4">
        <v>18</v>
      </c>
      <c r="T7" s="4">
        <v>19</v>
      </c>
      <c r="U7" s="4">
        <v>20</v>
      </c>
      <c r="V7" s="4">
        <v>21</v>
      </c>
      <c r="W7" s="4">
        <v>22</v>
      </c>
      <c r="X7" s="4">
        <v>23</v>
      </c>
      <c r="Y7" s="4">
        <v>24</v>
      </c>
      <c r="Z7" s="4">
        <v>25</v>
      </c>
      <c r="AA7" s="4">
        <v>26</v>
      </c>
      <c r="AB7" s="4">
        <v>27</v>
      </c>
      <c r="AC7" s="4">
        <v>28</v>
      </c>
      <c r="AD7" s="4">
        <v>29</v>
      </c>
      <c r="AE7" s="4">
        <v>30</v>
      </c>
      <c r="AF7" s="4">
        <v>31</v>
      </c>
      <c r="AG7" s="4" t="s">
        <v>3</v>
      </c>
    </row>
    <row r="8" spans="1:33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5.35" customHeight="1">
      <c r="A14" s="2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5.35" customHeight="1">
      <c r="A15" s="2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5.35" customHeight="1">
      <c r="A16" s="2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</sheetData>
  <mergeCells count="2">
    <mergeCell ref="A3:AG3"/>
    <mergeCell ref="A5:AG5"/>
  </mergeCells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17"/>
  <sheetViews>
    <sheetView tabSelected="1" workbookViewId="0">
      <selection activeCell="J20" sqref="J20"/>
    </sheetView>
  </sheetViews>
  <sheetFormatPr baseColWidth="10" defaultRowHeight="15"/>
  <cols>
    <col min="1" max="1" width="12" customWidth="1"/>
    <col min="2" max="2" width="3.42578125" customWidth="1"/>
    <col min="3" max="3" width="3" customWidth="1"/>
    <col min="4" max="5" width="3.7109375" customWidth="1"/>
    <col min="6" max="6" width="3" customWidth="1"/>
    <col min="7" max="7" width="3.7109375" customWidth="1"/>
    <col min="8" max="8" width="2.85546875" customWidth="1"/>
    <col min="9" max="9" width="3.42578125" customWidth="1"/>
    <col min="10" max="10" width="3" customWidth="1"/>
    <col min="11" max="11" width="3.42578125" customWidth="1"/>
    <col min="12" max="12" width="3.7109375" customWidth="1"/>
    <col min="13" max="13" width="3.28515625" customWidth="1"/>
    <col min="14" max="14" width="3.7109375" customWidth="1"/>
    <col min="15" max="15" width="3.140625" customWidth="1"/>
    <col min="16" max="16" width="3.7109375" customWidth="1"/>
    <col min="17" max="17" width="3.140625" customWidth="1"/>
    <col min="18" max="18" width="3.42578125" customWidth="1"/>
    <col min="19" max="19" width="3.5703125" customWidth="1"/>
    <col min="20" max="20" width="3.28515625" customWidth="1"/>
    <col min="21" max="21" width="3.140625" customWidth="1"/>
    <col min="22" max="23" width="3.42578125" customWidth="1"/>
    <col min="24" max="24" width="3" customWidth="1"/>
    <col min="25" max="25" width="3.42578125" customWidth="1"/>
    <col min="26" max="26" width="3.7109375" customWidth="1"/>
    <col min="27" max="27" width="2.85546875" customWidth="1"/>
    <col min="28" max="30" width="3.28515625" customWidth="1"/>
    <col min="31" max="31" width="3.42578125" customWidth="1"/>
    <col min="32" max="32" width="3.28515625" customWidth="1"/>
    <col min="33" max="33" width="7.28515625" customWidth="1"/>
    <col min="34" max="34" width="7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19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AG8</f>
        <v>0</v>
      </c>
    </row>
    <row r="9" spans="1:34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0</v>
      </c>
      <c r="AH9" s="5">
        <f t="shared" ref="AH9:AH17" si="1">AG9</f>
        <v>0</v>
      </c>
    </row>
    <row r="10" spans="1:34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 t="shared" si="1"/>
        <v>0</v>
      </c>
    </row>
    <row r="11" spans="1:34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5">
        <f t="shared" si="0"/>
        <v>0</v>
      </c>
      <c r="AH11" s="5">
        <f t="shared" si="1"/>
        <v>0</v>
      </c>
    </row>
    <row r="12" spans="1:34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5">
        <f t="shared" si="0"/>
        <v>0</v>
      </c>
      <c r="AH12" s="5">
        <f t="shared" si="1"/>
        <v>0</v>
      </c>
    </row>
    <row r="13" spans="1:34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5">
        <f t="shared" si="0"/>
        <v>0</v>
      </c>
      <c r="AH13" s="5">
        <f t="shared" si="1"/>
        <v>0</v>
      </c>
    </row>
    <row r="14" spans="1:34" ht="25.3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5">
        <f t="shared" ref="AG14" si="2">SUM(B14:AF14)</f>
        <v>0</v>
      </c>
      <c r="AH14" s="5">
        <f t="shared" ref="AH14" si="3">AG14</f>
        <v>0</v>
      </c>
    </row>
    <row r="15" spans="1:34" ht="25.3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5">
        <f t="shared" si="0"/>
        <v>0</v>
      </c>
      <c r="AH15" s="5">
        <f t="shared" si="1"/>
        <v>0</v>
      </c>
    </row>
    <row r="16" spans="1:34" ht="25.3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5">
        <f t="shared" si="0"/>
        <v>0</v>
      </c>
      <c r="AH16" s="5">
        <f t="shared" si="1"/>
        <v>0</v>
      </c>
    </row>
    <row r="17" spans="1:34" ht="25.35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">
        <f t="shared" si="0"/>
        <v>0</v>
      </c>
      <c r="AH17" s="5">
        <f t="shared" si="1"/>
        <v>0</v>
      </c>
    </row>
  </sheetData>
  <mergeCells count="2">
    <mergeCell ref="A3:AH3"/>
    <mergeCell ref="A5:AH5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7"/>
  <sheetViews>
    <sheetView workbookViewId="0">
      <selection activeCell="AI16" sqref="AI16"/>
    </sheetView>
  </sheetViews>
  <sheetFormatPr baseColWidth="10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18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>
        <v>6</v>
      </c>
      <c r="M8" s="1">
        <v>13</v>
      </c>
      <c r="N8" s="1">
        <v>0</v>
      </c>
      <c r="O8" s="1">
        <v>0</v>
      </c>
      <c r="P8" s="1">
        <v>0</v>
      </c>
      <c r="Q8" s="1"/>
      <c r="R8" s="1">
        <v>0</v>
      </c>
      <c r="S8" s="1">
        <v>0</v>
      </c>
      <c r="T8" s="1"/>
      <c r="U8" s="1"/>
      <c r="V8" s="1"/>
      <c r="W8" s="1">
        <v>0</v>
      </c>
      <c r="X8" s="1"/>
      <c r="Y8" s="1">
        <v>0</v>
      </c>
      <c r="Z8" s="1"/>
      <c r="AA8" s="1">
        <v>5</v>
      </c>
      <c r="AB8" s="1">
        <v>0</v>
      </c>
      <c r="AC8" s="1">
        <v>0</v>
      </c>
      <c r="AD8" s="1"/>
      <c r="AE8" s="1"/>
      <c r="AF8" s="1"/>
      <c r="AG8" s="5">
        <f>SUM(B8:AF8)</f>
        <v>24</v>
      </c>
      <c r="AH8" s="5">
        <f>MARS!AH8+AG8</f>
        <v>24</v>
      </c>
    </row>
    <row r="9" spans="1:34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6</v>
      </c>
      <c r="M9" s="1">
        <v>0</v>
      </c>
      <c r="N9" s="1">
        <v>0</v>
      </c>
      <c r="O9" s="1">
        <v>0</v>
      </c>
      <c r="P9" s="1">
        <v>0</v>
      </c>
      <c r="Q9" s="1"/>
      <c r="R9" s="1">
        <v>0</v>
      </c>
      <c r="S9" s="1">
        <v>0</v>
      </c>
      <c r="T9" s="1"/>
      <c r="U9" s="1"/>
      <c r="V9" s="1"/>
      <c r="W9" s="1">
        <v>0</v>
      </c>
      <c r="X9" s="1"/>
      <c r="Y9" s="1">
        <v>0</v>
      </c>
      <c r="Z9" s="1"/>
      <c r="AA9" s="1">
        <v>0</v>
      </c>
      <c r="AB9" s="1">
        <v>0</v>
      </c>
      <c r="AC9" s="1">
        <v>0</v>
      </c>
      <c r="AD9" s="1"/>
      <c r="AE9" s="1"/>
      <c r="AF9" s="1"/>
      <c r="AG9" s="5">
        <f t="shared" ref="AG9:AG17" si="0">SUM(B9:AF9)</f>
        <v>6</v>
      </c>
      <c r="AH9" s="5">
        <f>MARS!AH9+AG9</f>
        <v>6</v>
      </c>
    </row>
    <row r="10" spans="1:34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>
        <v>10</v>
      </c>
      <c r="L10" s="1"/>
      <c r="M10" s="1">
        <v>13</v>
      </c>
      <c r="N10" s="1">
        <v>0</v>
      </c>
      <c r="O10" s="1">
        <v>0</v>
      </c>
      <c r="P10" s="1">
        <v>0</v>
      </c>
      <c r="Q10" s="1"/>
      <c r="R10" s="1">
        <v>0</v>
      </c>
      <c r="S10" s="1">
        <v>1</v>
      </c>
      <c r="T10" s="1"/>
      <c r="U10" s="1"/>
      <c r="V10" s="1"/>
      <c r="W10" s="1">
        <v>0</v>
      </c>
      <c r="X10" s="1"/>
      <c r="Y10" s="1">
        <v>0</v>
      </c>
      <c r="Z10" s="1"/>
      <c r="AA10" s="1">
        <v>0</v>
      </c>
      <c r="AB10" s="1">
        <v>0</v>
      </c>
      <c r="AC10" s="1">
        <v>0</v>
      </c>
      <c r="AD10" s="1"/>
      <c r="AE10" s="1"/>
      <c r="AF10" s="1"/>
      <c r="AG10" s="5">
        <f t="shared" si="0"/>
        <v>24</v>
      </c>
      <c r="AH10" s="5">
        <f>MARS!AH10+AG10</f>
        <v>24</v>
      </c>
    </row>
    <row r="11" spans="1:34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4</v>
      </c>
      <c r="M11" s="1">
        <v>4</v>
      </c>
      <c r="N11" s="1">
        <v>0</v>
      </c>
      <c r="O11" s="1">
        <v>0</v>
      </c>
      <c r="P11" s="1">
        <v>0</v>
      </c>
      <c r="Q11" s="1"/>
      <c r="R11" s="1">
        <v>0</v>
      </c>
      <c r="S11" s="1">
        <v>0</v>
      </c>
      <c r="T11" s="1"/>
      <c r="U11" s="1"/>
      <c r="V11" s="1"/>
      <c r="W11" s="1">
        <v>0</v>
      </c>
      <c r="X11" s="1"/>
      <c r="Y11" s="1">
        <v>0</v>
      </c>
      <c r="Z11" s="1"/>
      <c r="AA11" s="1">
        <v>0</v>
      </c>
      <c r="AB11" s="1">
        <v>3</v>
      </c>
      <c r="AC11" s="1">
        <v>0</v>
      </c>
      <c r="AD11" s="1"/>
      <c r="AE11" s="1"/>
      <c r="AF11" s="1"/>
      <c r="AG11" s="5">
        <f t="shared" si="0"/>
        <v>11</v>
      </c>
      <c r="AH11" s="5">
        <f>MARS!AH11+AG11</f>
        <v>11</v>
      </c>
    </row>
    <row r="12" spans="1:34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4</v>
      </c>
      <c r="M12" s="1">
        <v>80</v>
      </c>
      <c r="N12" s="1">
        <v>0</v>
      </c>
      <c r="O12" s="1">
        <v>0</v>
      </c>
      <c r="P12" s="1">
        <v>0</v>
      </c>
      <c r="Q12" s="1"/>
      <c r="R12" s="1">
        <v>0</v>
      </c>
      <c r="S12" s="1">
        <v>0</v>
      </c>
      <c r="T12" s="1"/>
      <c r="U12" s="1"/>
      <c r="V12" s="1"/>
      <c r="W12" s="1">
        <v>0</v>
      </c>
      <c r="X12" s="1"/>
      <c r="Y12" s="1">
        <v>0</v>
      </c>
      <c r="Z12" s="1"/>
      <c r="AA12" s="1">
        <v>0</v>
      </c>
      <c r="AB12" s="1">
        <v>8</v>
      </c>
      <c r="AC12" s="1">
        <v>0</v>
      </c>
      <c r="AD12" s="1"/>
      <c r="AE12" s="1"/>
      <c r="AF12" s="1"/>
      <c r="AG12" s="5">
        <f t="shared" si="0"/>
        <v>92</v>
      </c>
      <c r="AH12" s="5">
        <f>MARS!AH12+AG12</f>
        <v>92</v>
      </c>
    </row>
    <row r="13" spans="1:34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>
        <v>8</v>
      </c>
      <c r="M13" s="1">
        <v>18</v>
      </c>
      <c r="N13" s="1">
        <v>0</v>
      </c>
      <c r="O13" s="1">
        <v>0</v>
      </c>
      <c r="P13" s="1">
        <v>0</v>
      </c>
      <c r="Q13" s="1"/>
      <c r="R13" s="1">
        <v>0</v>
      </c>
      <c r="S13" s="1">
        <v>0</v>
      </c>
      <c r="T13" s="1"/>
      <c r="U13" s="1"/>
      <c r="V13" s="1"/>
      <c r="W13" s="1">
        <v>0</v>
      </c>
      <c r="X13" s="1"/>
      <c r="Y13" s="1">
        <v>0</v>
      </c>
      <c r="Z13" s="1"/>
      <c r="AA13" s="1">
        <v>0</v>
      </c>
      <c r="AB13" s="1">
        <v>1</v>
      </c>
      <c r="AC13" s="1">
        <v>0</v>
      </c>
      <c r="AD13" s="1"/>
      <c r="AE13" s="1"/>
      <c r="AF13" s="1"/>
      <c r="AG13" s="5">
        <f t="shared" si="0"/>
        <v>27</v>
      </c>
      <c r="AH13" s="5">
        <f>MARS!AH13+AG13</f>
        <v>27</v>
      </c>
    </row>
    <row r="14" spans="1:34" ht="25.35" customHeight="1">
      <c r="A14" s="2" t="s">
        <v>15</v>
      </c>
      <c r="B14" s="1"/>
      <c r="C14" s="1"/>
      <c r="D14" s="1"/>
      <c r="E14" s="1"/>
      <c r="F14" s="1"/>
      <c r="G14" s="1"/>
      <c r="H14" s="1">
        <v>3</v>
      </c>
      <c r="I14" s="1"/>
      <c r="J14" s="1"/>
      <c r="K14" s="1"/>
      <c r="L14" s="1"/>
      <c r="M14" s="1">
        <v>67</v>
      </c>
      <c r="N14" s="1">
        <v>11</v>
      </c>
      <c r="O14" s="1">
        <v>17</v>
      </c>
      <c r="P14" s="1">
        <v>0</v>
      </c>
      <c r="Q14" s="1"/>
      <c r="R14" s="1">
        <v>0</v>
      </c>
      <c r="S14" s="1">
        <v>0</v>
      </c>
      <c r="T14" s="1"/>
      <c r="U14" s="1"/>
      <c r="V14" s="1"/>
      <c r="W14" s="1">
        <v>0</v>
      </c>
      <c r="X14" s="1"/>
      <c r="Y14" s="1">
        <v>22</v>
      </c>
      <c r="Z14" s="1"/>
      <c r="AA14" s="1">
        <v>0</v>
      </c>
      <c r="AB14" s="1">
        <v>10</v>
      </c>
      <c r="AC14" s="1">
        <v>0</v>
      </c>
      <c r="AD14" s="1"/>
      <c r="AE14" s="1"/>
      <c r="AF14" s="1"/>
      <c r="AG14" s="5">
        <f t="shared" ref="AG14" si="1">SUM(B14:AF14)</f>
        <v>130</v>
      </c>
      <c r="AH14" s="5">
        <f>MARS!AH14+AG14</f>
        <v>130</v>
      </c>
    </row>
    <row r="15" spans="1:34" ht="25.3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v>6</v>
      </c>
      <c r="N15" s="1">
        <v>0</v>
      </c>
      <c r="O15" s="1">
        <v>13</v>
      </c>
      <c r="P15" s="1">
        <v>2</v>
      </c>
      <c r="Q15" s="1"/>
      <c r="R15" s="1">
        <v>0</v>
      </c>
      <c r="S15" s="1">
        <v>0</v>
      </c>
      <c r="T15" s="1"/>
      <c r="U15" s="1"/>
      <c r="V15" s="1"/>
      <c r="W15" s="1">
        <v>0</v>
      </c>
      <c r="X15" s="1"/>
      <c r="Y15" s="1">
        <v>5</v>
      </c>
      <c r="Z15" s="1"/>
      <c r="AA15" s="1">
        <v>0</v>
      </c>
      <c r="AB15" s="1">
        <v>0</v>
      </c>
      <c r="AC15" s="1">
        <v>56</v>
      </c>
      <c r="AD15" s="1"/>
      <c r="AE15" s="1"/>
      <c r="AF15" s="1"/>
      <c r="AG15" s="5">
        <f t="shared" si="0"/>
        <v>82</v>
      </c>
      <c r="AH15" s="5">
        <f>MARS!AH15+AG15</f>
        <v>82</v>
      </c>
    </row>
    <row r="16" spans="1:34" ht="25.3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v>5</v>
      </c>
      <c r="N16" s="1">
        <v>0</v>
      </c>
      <c r="O16" s="1">
        <v>30</v>
      </c>
      <c r="P16" s="1">
        <v>0</v>
      </c>
      <c r="Q16" s="1"/>
      <c r="R16" s="1">
        <v>0</v>
      </c>
      <c r="S16" s="1">
        <v>0</v>
      </c>
      <c r="T16" s="1"/>
      <c r="U16" s="1"/>
      <c r="V16" s="1"/>
      <c r="W16" s="1">
        <v>4</v>
      </c>
      <c r="X16" s="1"/>
      <c r="Y16" s="1">
        <v>0</v>
      </c>
      <c r="Z16" s="1"/>
      <c r="AA16" s="1">
        <v>0</v>
      </c>
      <c r="AB16" s="1">
        <v>12</v>
      </c>
      <c r="AC16" s="1">
        <v>0</v>
      </c>
      <c r="AD16" s="1"/>
      <c r="AE16" s="1"/>
      <c r="AF16" s="1"/>
      <c r="AG16" s="5">
        <f t="shared" si="0"/>
        <v>51</v>
      </c>
      <c r="AH16" s="5">
        <f>MARS!AH16+AG16</f>
        <v>51</v>
      </c>
    </row>
    <row r="17" spans="1:34" ht="25.35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v>7</v>
      </c>
      <c r="N17" s="1">
        <v>0</v>
      </c>
      <c r="O17" s="1">
        <v>25</v>
      </c>
      <c r="P17" s="1">
        <v>4</v>
      </c>
      <c r="Q17" s="1"/>
      <c r="R17" s="1">
        <v>1</v>
      </c>
      <c r="S17" s="1">
        <v>0</v>
      </c>
      <c r="T17" s="1"/>
      <c r="U17" s="1"/>
      <c r="V17" s="1"/>
      <c r="W17" s="1">
        <v>23</v>
      </c>
      <c r="X17" s="1"/>
      <c r="Y17" s="1">
        <v>6</v>
      </c>
      <c r="Z17" s="1"/>
      <c r="AA17" s="1">
        <v>0</v>
      </c>
      <c r="AB17" s="1">
        <v>2</v>
      </c>
      <c r="AC17" s="1">
        <v>0</v>
      </c>
      <c r="AD17" s="1"/>
      <c r="AE17" s="1"/>
      <c r="AF17" s="1"/>
      <c r="AG17" s="5">
        <f t="shared" si="0"/>
        <v>68</v>
      </c>
      <c r="AH17" s="5">
        <f>MARS!AH17+AG17</f>
        <v>68</v>
      </c>
    </row>
  </sheetData>
  <mergeCells count="2">
    <mergeCell ref="A3:AH3"/>
    <mergeCell ref="A5:AH5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7"/>
  <sheetViews>
    <sheetView workbookViewId="0">
      <selection activeCell="AK13" sqref="AK13"/>
    </sheetView>
  </sheetViews>
  <sheetFormatPr baseColWidth="10" defaultRowHeight="15"/>
  <cols>
    <col min="1" max="1" width="10.28515625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0</v>
      </c>
      <c r="D8" s="1">
        <v>2</v>
      </c>
      <c r="E8" s="1">
        <v>7</v>
      </c>
      <c r="F8" s="1">
        <v>0</v>
      </c>
      <c r="G8" s="1">
        <v>0</v>
      </c>
      <c r="H8" s="1"/>
      <c r="I8" s="1">
        <v>1</v>
      </c>
      <c r="J8" s="1">
        <v>0</v>
      </c>
      <c r="K8" s="1"/>
      <c r="L8" s="1"/>
      <c r="M8" s="1"/>
      <c r="N8" s="1">
        <v>0</v>
      </c>
      <c r="O8" s="1">
        <v>0</v>
      </c>
      <c r="P8" s="1">
        <v>0</v>
      </c>
      <c r="Q8" s="1"/>
      <c r="R8" s="1">
        <v>1</v>
      </c>
      <c r="S8" s="1"/>
      <c r="T8" s="1">
        <v>0</v>
      </c>
      <c r="U8" s="1">
        <v>1</v>
      </c>
      <c r="V8" s="1">
        <v>0</v>
      </c>
      <c r="W8" s="1">
        <v>0</v>
      </c>
      <c r="X8" s="1"/>
      <c r="Y8" s="1">
        <v>3</v>
      </c>
      <c r="Z8" s="1">
        <v>0</v>
      </c>
      <c r="AA8" s="1"/>
      <c r="AB8" s="1"/>
      <c r="AC8" s="1">
        <v>1</v>
      </c>
      <c r="AD8" s="1"/>
      <c r="AE8" s="1">
        <v>2</v>
      </c>
      <c r="AF8" s="1">
        <v>22</v>
      </c>
      <c r="AG8" s="5">
        <f>SUM(B8:AF8)</f>
        <v>40</v>
      </c>
      <c r="AH8" s="5">
        <f>AVRIL!AH8+AG8</f>
        <v>64</v>
      </c>
    </row>
    <row r="9" spans="1:34" ht="25.35" customHeight="1">
      <c r="A9" s="2" t="s">
        <v>7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/>
      <c r="I9" s="1">
        <v>1</v>
      </c>
      <c r="J9" s="1">
        <v>0</v>
      </c>
      <c r="K9" s="1"/>
      <c r="L9" s="1"/>
      <c r="M9" s="1"/>
      <c r="N9" s="1">
        <v>0</v>
      </c>
      <c r="O9" s="1">
        <v>0</v>
      </c>
      <c r="P9" s="1">
        <v>4</v>
      </c>
      <c r="Q9" s="1"/>
      <c r="R9" s="1">
        <v>5</v>
      </c>
      <c r="S9" s="1"/>
      <c r="T9" s="1">
        <v>1</v>
      </c>
      <c r="U9" s="1">
        <v>10</v>
      </c>
      <c r="V9" s="1">
        <v>0</v>
      </c>
      <c r="W9" s="1">
        <v>0</v>
      </c>
      <c r="X9" s="1"/>
      <c r="Y9" s="1">
        <v>65</v>
      </c>
      <c r="Z9" s="1">
        <v>4</v>
      </c>
      <c r="AA9" s="1"/>
      <c r="AB9" s="1"/>
      <c r="AC9" s="1">
        <v>0</v>
      </c>
      <c r="AD9" s="1"/>
      <c r="AE9" s="1">
        <v>5</v>
      </c>
      <c r="AF9" s="1">
        <v>0</v>
      </c>
      <c r="AG9" s="5">
        <f t="shared" ref="AG9:AG17" si="0">SUM(B9:AF9)</f>
        <v>96</v>
      </c>
      <c r="AH9" s="5">
        <f>AVRIL!AH9+AG9</f>
        <v>102</v>
      </c>
    </row>
    <row r="10" spans="1:34" ht="25.35" customHeight="1">
      <c r="A10" s="2" t="s">
        <v>8</v>
      </c>
      <c r="B10" s="1">
        <v>0</v>
      </c>
      <c r="C10" s="1">
        <v>0</v>
      </c>
      <c r="D10" s="1">
        <v>0</v>
      </c>
      <c r="E10" s="1">
        <v>11</v>
      </c>
      <c r="F10" s="1">
        <v>0</v>
      </c>
      <c r="G10" s="1">
        <v>0</v>
      </c>
      <c r="H10" s="1"/>
      <c r="I10" s="1">
        <v>0</v>
      </c>
      <c r="J10" s="1">
        <v>0</v>
      </c>
      <c r="K10" s="1"/>
      <c r="L10" s="1"/>
      <c r="M10" s="1"/>
      <c r="N10" s="1">
        <v>0</v>
      </c>
      <c r="O10" s="1">
        <v>0</v>
      </c>
      <c r="P10" s="1">
        <v>0</v>
      </c>
      <c r="Q10" s="1"/>
      <c r="R10" s="1">
        <v>5</v>
      </c>
      <c r="S10" s="1"/>
      <c r="T10" s="1">
        <v>0</v>
      </c>
      <c r="U10" s="1">
        <v>13</v>
      </c>
      <c r="V10" s="1">
        <v>0</v>
      </c>
      <c r="W10" s="1">
        <v>0</v>
      </c>
      <c r="X10" s="1"/>
      <c r="Y10" s="1">
        <v>55</v>
      </c>
      <c r="Z10" s="1">
        <v>2</v>
      </c>
      <c r="AA10" s="1"/>
      <c r="AB10" s="1"/>
      <c r="AC10" s="1">
        <v>0</v>
      </c>
      <c r="AD10" s="1"/>
      <c r="AE10" s="1">
        <v>5</v>
      </c>
      <c r="AF10" s="1">
        <v>11</v>
      </c>
      <c r="AG10" s="5">
        <f t="shared" si="0"/>
        <v>102</v>
      </c>
      <c r="AH10" s="5">
        <f>AVRIL!AH10+AG10</f>
        <v>126</v>
      </c>
    </row>
    <row r="11" spans="1:34" ht="25.35" customHeight="1">
      <c r="A11" s="2" t="s">
        <v>5</v>
      </c>
      <c r="B11" s="1">
        <v>0</v>
      </c>
      <c r="C11" s="1">
        <v>0</v>
      </c>
      <c r="D11" s="1">
        <v>0</v>
      </c>
      <c r="E11" s="1">
        <v>0</v>
      </c>
      <c r="F11" s="1">
        <v>3</v>
      </c>
      <c r="G11" s="1">
        <v>0</v>
      </c>
      <c r="H11" s="1"/>
      <c r="I11" s="1">
        <v>10</v>
      </c>
      <c r="J11" s="1">
        <v>0</v>
      </c>
      <c r="K11" s="1"/>
      <c r="L11" s="1"/>
      <c r="M11" s="1"/>
      <c r="N11" s="1">
        <v>0</v>
      </c>
      <c r="O11" s="1">
        <v>4</v>
      </c>
      <c r="P11" s="1">
        <v>4</v>
      </c>
      <c r="Q11" s="1"/>
      <c r="R11" s="1">
        <v>0</v>
      </c>
      <c r="S11" s="1"/>
      <c r="T11" s="1">
        <v>3</v>
      </c>
      <c r="U11" s="1">
        <v>5</v>
      </c>
      <c r="V11" s="1">
        <v>0</v>
      </c>
      <c r="W11" s="1">
        <v>0</v>
      </c>
      <c r="X11" s="1"/>
      <c r="Y11" s="1">
        <v>34</v>
      </c>
      <c r="Z11" s="1">
        <v>14</v>
      </c>
      <c r="AA11" s="1"/>
      <c r="AB11" s="1"/>
      <c r="AC11" s="1">
        <v>0</v>
      </c>
      <c r="AD11" s="1"/>
      <c r="AE11" s="1">
        <v>0</v>
      </c>
      <c r="AF11" s="1">
        <v>0</v>
      </c>
      <c r="AG11" s="5">
        <f t="shared" si="0"/>
        <v>77</v>
      </c>
      <c r="AH11" s="5">
        <f>AVRIL!AH11+AG11</f>
        <v>88</v>
      </c>
    </row>
    <row r="12" spans="1:34" ht="25.35" customHeight="1">
      <c r="A12" s="2" t="s">
        <v>4</v>
      </c>
      <c r="B12" s="1">
        <v>0</v>
      </c>
      <c r="C12" s="1">
        <v>0</v>
      </c>
      <c r="D12" s="1">
        <v>3</v>
      </c>
      <c r="E12" s="1">
        <v>55</v>
      </c>
      <c r="F12" s="1">
        <v>0</v>
      </c>
      <c r="G12" s="1">
        <v>0</v>
      </c>
      <c r="H12" s="1"/>
      <c r="I12" s="1">
        <v>6</v>
      </c>
      <c r="J12" s="1">
        <v>0</v>
      </c>
      <c r="K12" s="1"/>
      <c r="L12" s="1"/>
      <c r="M12" s="1"/>
      <c r="N12" s="1">
        <v>0</v>
      </c>
      <c r="O12" s="1">
        <v>0</v>
      </c>
      <c r="P12" s="1">
        <v>30</v>
      </c>
      <c r="Q12" s="1"/>
      <c r="R12" s="1">
        <v>0</v>
      </c>
      <c r="S12" s="1"/>
      <c r="T12" s="1">
        <v>0</v>
      </c>
      <c r="U12" s="1">
        <v>0</v>
      </c>
      <c r="V12" s="1">
        <v>7</v>
      </c>
      <c r="W12" s="1">
        <v>0</v>
      </c>
      <c r="X12" s="1"/>
      <c r="Y12" s="1">
        <v>6</v>
      </c>
      <c r="Z12" s="1">
        <v>60</v>
      </c>
      <c r="AA12" s="1"/>
      <c r="AB12" s="1"/>
      <c r="AC12" s="1">
        <v>0</v>
      </c>
      <c r="AD12" s="1"/>
      <c r="AE12" s="1">
        <v>0</v>
      </c>
      <c r="AF12" s="1">
        <v>0</v>
      </c>
      <c r="AG12" s="5">
        <f t="shared" si="0"/>
        <v>167</v>
      </c>
      <c r="AH12" s="5">
        <f>AVRIL!AH12+AG12</f>
        <v>259</v>
      </c>
    </row>
    <row r="13" spans="1:34" ht="25.35" customHeight="1">
      <c r="A13" s="2" t="s">
        <v>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/>
      <c r="I13" s="1">
        <v>3</v>
      </c>
      <c r="J13" s="1">
        <v>0</v>
      </c>
      <c r="K13" s="1"/>
      <c r="L13" s="1"/>
      <c r="M13" s="1"/>
      <c r="N13" s="1">
        <v>0</v>
      </c>
      <c r="O13" s="1">
        <v>0</v>
      </c>
      <c r="P13" s="1">
        <v>4</v>
      </c>
      <c r="Q13" s="1"/>
      <c r="R13" s="1">
        <v>0</v>
      </c>
      <c r="S13" s="1"/>
      <c r="T13" s="1">
        <v>1</v>
      </c>
      <c r="U13" s="1">
        <v>5</v>
      </c>
      <c r="V13" s="1">
        <v>0</v>
      </c>
      <c r="W13" s="1">
        <v>0</v>
      </c>
      <c r="X13" s="1"/>
      <c r="Y13" s="1">
        <v>2</v>
      </c>
      <c r="Z13" s="1">
        <v>18</v>
      </c>
      <c r="AA13" s="1"/>
      <c r="AB13" s="1"/>
      <c r="AC13" s="1">
        <v>0</v>
      </c>
      <c r="AD13" s="1"/>
      <c r="AE13" s="1">
        <v>7</v>
      </c>
      <c r="AF13" s="1">
        <v>0</v>
      </c>
      <c r="AG13" s="5">
        <f t="shared" si="0"/>
        <v>40</v>
      </c>
      <c r="AH13" s="5">
        <f>AVRIL!AH13+AG13</f>
        <v>67</v>
      </c>
    </row>
    <row r="14" spans="1:34" ht="25.35" customHeight="1">
      <c r="A14" s="2" t="s">
        <v>15</v>
      </c>
      <c r="B14" s="1">
        <v>3</v>
      </c>
      <c r="C14" s="1">
        <v>0</v>
      </c>
      <c r="D14" s="1">
        <v>0</v>
      </c>
      <c r="E14" s="1">
        <v>0</v>
      </c>
      <c r="F14" s="1">
        <v>0</v>
      </c>
      <c r="G14" s="1">
        <v>10</v>
      </c>
      <c r="H14" s="1"/>
      <c r="I14" s="1">
        <v>7</v>
      </c>
      <c r="J14" s="1">
        <v>3</v>
      </c>
      <c r="K14" s="1"/>
      <c r="L14" s="1"/>
      <c r="M14" s="1"/>
      <c r="N14" s="1">
        <v>0</v>
      </c>
      <c r="O14" s="1">
        <v>0</v>
      </c>
      <c r="P14" s="1">
        <v>8</v>
      </c>
      <c r="Q14" s="1"/>
      <c r="R14" s="1">
        <v>0</v>
      </c>
      <c r="S14" s="1"/>
      <c r="T14" s="1">
        <v>0</v>
      </c>
      <c r="U14" s="1">
        <v>10</v>
      </c>
      <c r="V14" s="1">
        <v>0</v>
      </c>
      <c r="W14" s="1">
        <v>0</v>
      </c>
      <c r="X14" s="1"/>
      <c r="Y14" s="1"/>
      <c r="Z14" s="1">
        <v>30</v>
      </c>
      <c r="AA14" s="1"/>
      <c r="AB14" s="1"/>
      <c r="AC14" s="1">
        <v>0</v>
      </c>
      <c r="AD14" s="1"/>
      <c r="AE14" s="1">
        <v>0</v>
      </c>
      <c r="AF14" s="1">
        <v>0</v>
      </c>
      <c r="AG14" s="5">
        <f t="shared" ref="AG14" si="1">SUM(B14:AF14)</f>
        <v>71</v>
      </c>
      <c r="AH14" s="5">
        <f>AVRIL!AH14+AG14</f>
        <v>201</v>
      </c>
    </row>
    <row r="15" spans="1:34" ht="25.35" customHeight="1">
      <c r="A15" s="2" t="s">
        <v>17</v>
      </c>
      <c r="B15" s="1">
        <v>0</v>
      </c>
      <c r="C15" s="1">
        <v>2</v>
      </c>
      <c r="D15" s="1">
        <v>0</v>
      </c>
      <c r="E15" s="1">
        <v>0</v>
      </c>
      <c r="F15" s="1">
        <v>0</v>
      </c>
      <c r="G15" s="1">
        <v>39</v>
      </c>
      <c r="H15" s="1"/>
      <c r="I15" s="1">
        <v>0</v>
      </c>
      <c r="J15" s="1">
        <v>2</v>
      </c>
      <c r="K15" s="1"/>
      <c r="L15" s="1"/>
      <c r="M15" s="1"/>
      <c r="N15" s="1">
        <v>0</v>
      </c>
      <c r="O15" s="1">
        <v>0</v>
      </c>
      <c r="P15" s="1">
        <v>0</v>
      </c>
      <c r="Q15" s="1"/>
      <c r="R15" s="1">
        <v>0</v>
      </c>
      <c r="S15" s="1"/>
      <c r="T15" s="1">
        <v>0</v>
      </c>
      <c r="U15" s="1">
        <v>4</v>
      </c>
      <c r="V15" s="1">
        <v>15</v>
      </c>
      <c r="W15" s="1">
        <v>0</v>
      </c>
      <c r="X15" s="1"/>
      <c r="Y15" s="1">
        <v>5</v>
      </c>
      <c r="Z15" s="1">
        <v>24</v>
      </c>
      <c r="AA15" s="1"/>
      <c r="AB15" s="1"/>
      <c r="AC15" s="1">
        <v>0</v>
      </c>
      <c r="AD15" s="1"/>
      <c r="AE15" s="1">
        <v>0</v>
      </c>
      <c r="AF15" s="1">
        <v>0</v>
      </c>
      <c r="AG15" s="5">
        <f t="shared" si="0"/>
        <v>91</v>
      </c>
      <c r="AH15" s="5">
        <f>AVRIL!AH15+AG15</f>
        <v>173</v>
      </c>
    </row>
    <row r="16" spans="1:34" ht="25.35" customHeight="1">
      <c r="A16" s="2" t="s">
        <v>16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</v>
      </c>
      <c r="H16" s="1"/>
      <c r="I16" s="1">
        <v>32</v>
      </c>
      <c r="J16" s="1">
        <v>0</v>
      </c>
      <c r="K16" s="1"/>
      <c r="L16" s="1"/>
      <c r="M16" s="1"/>
      <c r="N16" s="1">
        <v>20</v>
      </c>
      <c r="O16" s="1">
        <v>0</v>
      </c>
      <c r="P16" s="1">
        <v>6</v>
      </c>
      <c r="Q16" s="1"/>
      <c r="R16" s="1">
        <v>0</v>
      </c>
      <c r="S16" s="1"/>
      <c r="T16" s="1">
        <v>0</v>
      </c>
      <c r="U16" s="1">
        <v>0</v>
      </c>
      <c r="V16" s="1">
        <v>0</v>
      </c>
      <c r="W16" s="1">
        <v>40</v>
      </c>
      <c r="X16" s="1"/>
      <c r="Y16" s="1">
        <v>9</v>
      </c>
      <c r="Z16" s="1">
        <v>0</v>
      </c>
      <c r="AA16" s="1"/>
      <c r="AB16" s="1"/>
      <c r="AC16" s="1">
        <v>17</v>
      </c>
      <c r="AD16" s="1"/>
      <c r="AE16" s="1">
        <v>31</v>
      </c>
      <c r="AF16" s="1">
        <v>0</v>
      </c>
      <c r="AG16" s="5">
        <f t="shared" si="0"/>
        <v>159</v>
      </c>
      <c r="AH16" s="5">
        <f>AVRIL!AH16+AG16</f>
        <v>210</v>
      </c>
    </row>
    <row r="17" spans="1:34" ht="25.35" customHeight="1">
      <c r="A17" s="2" t="s">
        <v>12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7</v>
      </c>
      <c r="H17" s="1"/>
      <c r="I17" s="1">
        <v>4</v>
      </c>
      <c r="J17" s="1">
        <v>7</v>
      </c>
      <c r="K17" s="1"/>
      <c r="L17" s="1"/>
      <c r="M17" s="1"/>
      <c r="N17" s="1">
        <v>40</v>
      </c>
      <c r="O17" s="1">
        <v>0</v>
      </c>
      <c r="P17" s="1">
        <v>7</v>
      </c>
      <c r="Q17" s="1"/>
      <c r="R17" s="1">
        <v>0</v>
      </c>
      <c r="S17" s="1"/>
      <c r="T17" s="1">
        <v>0</v>
      </c>
      <c r="U17" s="1">
        <v>8</v>
      </c>
      <c r="V17" s="1">
        <v>9</v>
      </c>
      <c r="W17" s="1">
        <v>1</v>
      </c>
      <c r="X17" s="1"/>
      <c r="Y17" s="1">
        <v>12</v>
      </c>
      <c r="Z17" s="1">
        <v>2</v>
      </c>
      <c r="AA17" s="1"/>
      <c r="AB17" s="1"/>
      <c r="AC17" s="1">
        <v>20</v>
      </c>
      <c r="AD17" s="1"/>
      <c r="AE17" s="1">
        <v>0</v>
      </c>
      <c r="AF17" s="1">
        <v>0</v>
      </c>
      <c r="AG17" s="5">
        <f t="shared" si="0"/>
        <v>117</v>
      </c>
      <c r="AH17" s="5">
        <f>AVRIL!AH17+AG17</f>
        <v>185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H17"/>
  <sheetViews>
    <sheetView workbookViewId="0">
      <selection activeCell="AJ13" sqref="AJ13"/>
    </sheetView>
  </sheetViews>
  <sheetFormatPr baseColWidth="10" defaultRowHeight="15"/>
  <cols>
    <col min="1" max="1" width="10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/>
      <c r="D8" s="1">
        <v>3</v>
      </c>
      <c r="E8" s="1">
        <v>0</v>
      </c>
      <c r="F8" s="1">
        <v>0</v>
      </c>
      <c r="G8" s="1">
        <v>0</v>
      </c>
      <c r="H8" s="1">
        <v>21</v>
      </c>
      <c r="I8" s="1"/>
      <c r="J8" s="1"/>
      <c r="K8" s="1">
        <v>0</v>
      </c>
      <c r="L8" s="1">
        <v>0</v>
      </c>
      <c r="M8" s="1">
        <v>92</v>
      </c>
      <c r="N8" s="1">
        <v>0</v>
      </c>
      <c r="O8" s="1"/>
      <c r="P8" s="1">
        <v>0</v>
      </c>
      <c r="Q8" s="1">
        <v>0</v>
      </c>
      <c r="R8" s="1">
        <v>0</v>
      </c>
      <c r="S8" s="1">
        <v>0</v>
      </c>
      <c r="T8" s="1"/>
      <c r="U8" s="1">
        <v>0</v>
      </c>
      <c r="V8" s="1">
        <v>6</v>
      </c>
      <c r="W8" s="1">
        <v>3</v>
      </c>
      <c r="X8" s="1">
        <v>0</v>
      </c>
      <c r="Y8" s="1">
        <v>0</v>
      </c>
      <c r="Z8" s="1"/>
      <c r="AA8" s="1">
        <v>0</v>
      </c>
      <c r="AB8" s="1">
        <v>7</v>
      </c>
      <c r="AC8" s="1">
        <v>0</v>
      </c>
      <c r="AD8" s="1">
        <v>0</v>
      </c>
      <c r="AE8" s="1">
        <v>10</v>
      </c>
      <c r="AF8" s="1"/>
      <c r="AG8" s="5">
        <f>SUM(B8:AF8)</f>
        <v>142</v>
      </c>
      <c r="AH8" s="5">
        <f>MAI!AH8+AG8</f>
        <v>206</v>
      </c>
    </row>
    <row r="9" spans="1:34" ht="25.35" customHeight="1">
      <c r="A9" s="2" t="s">
        <v>7</v>
      </c>
      <c r="B9" s="1">
        <v>0</v>
      </c>
      <c r="C9" s="1"/>
      <c r="D9" s="1">
        <v>40</v>
      </c>
      <c r="E9" s="1">
        <v>0</v>
      </c>
      <c r="F9" s="1">
        <v>0</v>
      </c>
      <c r="G9" s="1">
        <v>0</v>
      </c>
      <c r="H9" s="1">
        <v>17</v>
      </c>
      <c r="I9" s="1"/>
      <c r="J9" s="1"/>
      <c r="K9" s="1">
        <v>0</v>
      </c>
      <c r="L9" s="1">
        <v>1</v>
      </c>
      <c r="M9" s="1">
        <v>0</v>
      </c>
      <c r="N9" s="1">
        <v>0</v>
      </c>
      <c r="O9" s="1"/>
      <c r="P9" s="1">
        <v>0</v>
      </c>
      <c r="Q9" s="1">
        <v>0</v>
      </c>
      <c r="R9" s="1">
        <v>0</v>
      </c>
      <c r="S9" s="1">
        <v>4</v>
      </c>
      <c r="T9" s="1"/>
      <c r="U9" s="1">
        <v>0</v>
      </c>
      <c r="V9" s="1">
        <v>6</v>
      </c>
      <c r="W9" s="1">
        <v>0</v>
      </c>
      <c r="X9" s="1">
        <v>3</v>
      </c>
      <c r="Y9" s="1">
        <v>0</v>
      </c>
      <c r="Z9" s="1"/>
      <c r="AA9" s="1">
        <v>0</v>
      </c>
      <c r="AB9" s="1">
        <v>2</v>
      </c>
      <c r="AC9" s="1">
        <v>0</v>
      </c>
      <c r="AD9" s="1">
        <v>3</v>
      </c>
      <c r="AE9" s="1">
        <v>0</v>
      </c>
      <c r="AF9" s="1"/>
      <c r="AG9" s="5">
        <f t="shared" ref="AG9:AG17" si="0">SUM(B9:AF9)</f>
        <v>76</v>
      </c>
      <c r="AH9" s="5">
        <f>MAI!AH9+AG9</f>
        <v>178</v>
      </c>
    </row>
    <row r="10" spans="1:34" ht="25.35" customHeight="1">
      <c r="A10" s="2" t="s">
        <v>8</v>
      </c>
      <c r="B10" s="1">
        <v>0</v>
      </c>
      <c r="C10" s="1"/>
      <c r="D10" s="1">
        <v>13</v>
      </c>
      <c r="E10" s="1">
        <v>0</v>
      </c>
      <c r="F10" s="1">
        <v>0</v>
      </c>
      <c r="G10" s="1">
        <v>0</v>
      </c>
      <c r="H10" s="1">
        <v>12</v>
      </c>
      <c r="I10" s="1"/>
      <c r="J10" s="1"/>
      <c r="K10" s="1">
        <v>0</v>
      </c>
      <c r="L10" s="1">
        <v>0</v>
      </c>
      <c r="M10" s="1">
        <v>0</v>
      </c>
      <c r="N10" s="1">
        <v>0</v>
      </c>
      <c r="O10" s="1"/>
      <c r="P10" s="1">
        <v>0</v>
      </c>
      <c r="Q10" s="1">
        <v>0</v>
      </c>
      <c r="R10" s="1">
        <v>0</v>
      </c>
      <c r="S10" s="1">
        <v>0</v>
      </c>
      <c r="T10" s="1"/>
      <c r="U10" s="1">
        <v>10</v>
      </c>
      <c r="V10" s="1">
        <v>0</v>
      </c>
      <c r="W10" s="1">
        <v>0</v>
      </c>
      <c r="X10" s="1">
        <v>0</v>
      </c>
      <c r="Y10" s="1">
        <v>0</v>
      </c>
      <c r="Z10" s="1"/>
      <c r="AA10" s="1">
        <v>0</v>
      </c>
      <c r="AB10" s="1">
        <v>14</v>
      </c>
      <c r="AC10" s="1">
        <v>0</v>
      </c>
      <c r="AD10" s="1">
        <v>0</v>
      </c>
      <c r="AE10" s="1">
        <v>0</v>
      </c>
      <c r="AF10" s="1"/>
      <c r="AG10" s="5">
        <f t="shared" si="0"/>
        <v>49</v>
      </c>
      <c r="AH10" s="5">
        <f>MAI!AH10+AG10</f>
        <v>175</v>
      </c>
    </row>
    <row r="11" spans="1:34" ht="25.35" customHeight="1">
      <c r="A11" s="2" t="s">
        <v>5</v>
      </c>
      <c r="B11" s="1">
        <v>0</v>
      </c>
      <c r="C11" s="1"/>
      <c r="D11" s="1">
        <v>22</v>
      </c>
      <c r="E11" s="1">
        <v>0</v>
      </c>
      <c r="F11" s="1">
        <v>0</v>
      </c>
      <c r="G11" s="1">
        <v>0</v>
      </c>
      <c r="H11" s="1">
        <v>7</v>
      </c>
      <c r="I11" s="1"/>
      <c r="J11" s="1"/>
      <c r="K11" s="1">
        <v>0</v>
      </c>
      <c r="L11" s="1">
        <v>0</v>
      </c>
      <c r="M11" s="1">
        <v>0</v>
      </c>
      <c r="N11" s="1">
        <v>0</v>
      </c>
      <c r="O11" s="1"/>
      <c r="P11" s="1">
        <v>0</v>
      </c>
      <c r="Q11" s="1">
        <v>0</v>
      </c>
      <c r="R11" s="1">
        <v>0</v>
      </c>
      <c r="S11" s="1">
        <v>47</v>
      </c>
      <c r="T11" s="1"/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/>
      <c r="AA11" s="1">
        <v>0</v>
      </c>
      <c r="AB11" s="1">
        <v>23</v>
      </c>
      <c r="AC11" s="1">
        <v>0</v>
      </c>
      <c r="AD11" s="1">
        <v>0</v>
      </c>
      <c r="AE11" s="1">
        <v>0</v>
      </c>
      <c r="AF11" s="1"/>
      <c r="AG11" s="5">
        <f t="shared" si="0"/>
        <v>99</v>
      </c>
      <c r="AH11" s="5">
        <f>MAI!AH11+AG11</f>
        <v>187</v>
      </c>
    </row>
    <row r="12" spans="1:34" ht="25.35" customHeight="1">
      <c r="A12" s="2" t="s">
        <v>4</v>
      </c>
      <c r="B12" s="1">
        <v>2</v>
      </c>
      <c r="C12" s="1"/>
      <c r="D12" s="1">
        <v>30</v>
      </c>
      <c r="E12" s="1">
        <v>0</v>
      </c>
      <c r="F12" s="1">
        <v>0</v>
      </c>
      <c r="G12" s="1">
        <v>0</v>
      </c>
      <c r="H12" s="1">
        <v>6</v>
      </c>
      <c r="I12" s="1"/>
      <c r="J12" s="1"/>
      <c r="K12" s="1">
        <v>0</v>
      </c>
      <c r="L12" s="1">
        <v>20</v>
      </c>
      <c r="M12" s="1">
        <v>0</v>
      </c>
      <c r="N12" s="1">
        <v>30</v>
      </c>
      <c r="O12" s="1"/>
      <c r="P12" s="1">
        <v>0</v>
      </c>
      <c r="Q12" s="1">
        <v>8</v>
      </c>
      <c r="R12" s="1">
        <v>0</v>
      </c>
      <c r="S12" s="1">
        <v>30</v>
      </c>
      <c r="T12" s="1"/>
      <c r="U12" s="1">
        <v>0</v>
      </c>
      <c r="V12" s="1">
        <v>0</v>
      </c>
      <c r="W12" s="1">
        <v>0</v>
      </c>
      <c r="X12" s="1">
        <v>13</v>
      </c>
      <c r="Y12" s="1">
        <v>0</v>
      </c>
      <c r="Z12" s="1"/>
      <c r="AA12" s="1">
        <v>0</v>
      </c>
      <c r="AB12" s="1">
        <v>0</v>
      </c>
      <c r="AC12" s="1">
        <v>0</v>
      </c>
      <c r="AD12" s="1">
        <v>0</v>
      </c>
      <c r="AE12" s="1">
        <v>40</v>
      </c>
      <c r="AF12" s="1"/>
      <c r="AG12" s="5">
        <f t="shared" si="0"/>
        <v>179</v>
      </c>
      <c r="AH12" s="5">
        <f>MAI!AH12+AG12</f>
        <v>438</v>
      </c>
    </row>
    <row r="13" spans="1:34" ht="25.35" customHeight="1">
      <c r="A13" s="2" t="s">
        <v>9</v>
      </c>
      <c r="B13" s="1">
        <v>0</v>
      </c>
      <c r="C13" s="1"/>
      <c r="D13" s="1">
        <v>0</v>
      </c>
      <c r="E13" s="1">
        <v>0</v>
      </c>
      <c r="F13" s="1">
        <v>0</v>
      </c>
      <c r="G13" s="1">
        <v>8</v>
      </c>
      <c r="H13" s="1">
        <v>40</v>
      </c>
      <c r="I13" s="1"/>
      <c r="J13" s="1"/>
      <c r="K13" s="1">
        <v>15</v>
      </c>
      <c r="L13" s="1">
        <v>0</v>
      </c>
      <c r="M13" s="1">
        <v>0</v>
      </c>
      <c r="N13" s="1">
        <v>8</v>
      </c>
      <c r="O13" s="1"/>
      <c r="P13" s="1">
        <v>0</v>
      </c>
      <c r="Q13" s="1">
        <v>7</v>
      </c>
      <c r="R13" s="1">
        <v>0</v>
      </c>
      <c r="S13" s="1">
        <v>8</v>
      </c>
      <c r="T13" s="1"/>
      <c r="U13" s="1">
        <v>0</v>
      </c>
      <c r="V13" s="1">
        <v>2</v>
      </c>
      <c r="W13" s="1">
        <v>0</v>
      </c>
      <c r="X13" s="1">
        <v>2</v>
      </c>
      <c r="Y13" s="1">
        <v>0</v>
      </c>
      <c r="Z13" s="1"/>
      <c r="AA13" s="1">
        <v>2</v>
      </c>
      <c r="AB13" s="1">
        <v>2</v>
      </c>
      <c r="AC13" s="1">
        <v>0</v>
      </c>
      <c r="AD13" s="1">
        <v>0</v>
      </c>
      <c r="AE13" s="1">
        <v>50</v>
      </c>
      <c r="AF13" s="1"/>
      <c r="AG13" s="5">
        <f t="shared" si="0"/>
        <v>144</v>
      </c>
      <c r="AH13" s="5">
        <f>MAI!AH13+AG13</f>
        <v>211</v>
      </c>
    </row>
    <row r="14" spans="1:34" ht="25.35" customHeight="1">
      <c r="A14" s="2" t="s">
        <v>15</v>
      </c>
      <c r="B14" s="1">
        <v>27</v>
      </c>
      <c r="C14" s="1"/>
      <c r="D14" s="1">
        <v>19</v>
      </c>
      <c r="E14" s="1">
        <v>5</v>
      </c>
      <c r="F14" s="1">
        <v>0</v>
      </c>
      <c r="G14" s="1">
        <v>0</v>
      </c>
      <c r="H14" s="1">
        <v>4</v>
      </c>
      <c r="I14" s="1"/>
      <c r="J14" s="1"/>
      <c r="K14" s="1">
        <v>5</v>
      </c>
      <c r="L14" s="1">
        <v>1</v>
      </c>
      <c r="M14" s="1">
        <v>0</v>
      </c>
      <c r="N14" s="1">
        <v>4</v>
      </c>
      <c r="O14" s="1"/>
      <c r="P14" s="1">
        <v>0</v>
      </c>
      <c r="Q14" s="1">
        <v>44</v>
      </c>
      <c r="R14" s="1">
        <v>0</v>
      </c>
      <c r="S14" s="1">
        <v>2</v>
      </c>
      <c r="T14" s="1"/>
      <c r="U14" s="1">
        <v>13</v>
      </c>
      <c r="V14" s="1">
        <v>50</v>
      </c>
      <c r="W14" s="1">
        <v>0</v>
      </c>
      <c r="X14" s="1">
        <v>12</v>
      </c>
      <c r="Y14" s="1">
        <v>32</v>
      </c>
      <c r="Z14" s="1"/>
      <c r="AA14" s="1">
        <v>0</v>
      </c>
      <c r="AB14" s="1">
        <v>5</v>
      </c>
      <c r="AC14" s="1">
        <v>0</v>
      </c>
      <c r="AD14" s="1">
        <v>0</v>
      </c>
      <c r="AE14" s="1">
        <v>40</v>
      </c>
      <c r="AF14" s="1"/>
      <c r="AG14" s="5">
        <f t="shared" ref="AG14" si="1">SUM(B14:AF14)</f>
        <v>263</v>
      </c>
      <c r="AH14" s="5">
        <f>MAI!AH14+AG14</f>
        <v>464</v>
      </c>
    </row>
    <row r="15" spans="1:34" ht="25.35" customHeight="1">
      <c r="A15" s="2" t="s">
        <v>17</v>
      </c>
      <c r="B15" s="1">
        <v>0</v>
      </c>
      <c r="C15" s="1"/>
      <c r="D15" s="1">
        <v>14</v>
      </c>
      <c r="E15" s="1">
        <v>20</v>
      </c>
      <c r="F15" s="1">
        <v>0</v>
      </c>
      <c r="G15" s="1">
        <v>0</v>
      </c>
      <c r="H15" s="1">
        <v>60</v>
      </c>
      <c r="I15" s="1"/>
      <c r="J15" s="1"/>
      <c r="K15" s="1">
        <v>25</v>
      </c>
      <c r="L15" s="1">
        <v>0</v>
      </c>
      <c r="M15" s="1">
        <v>0</v>
      </c>
      <c r="N15" s="1">
        <v>5</v>
      </c>
      <c r="O15" s="1"/>
      <c r="P15" s="1">
        <v>0</v>
      </c>
      <c r="Q15" s="1">
        <v>27</v>
      </c>
      <c r="R15" s="1">
        <v>6</v>
      </c>
      <c r="S15" s="1">
        <v>3</v>
      </c>
      <c r="T15" s="1"/>
      <c r="U15" s="1">
        <v>0</v>
      </c>
      <c r="V15" s="1">
        <v>101</v>
      </c>
      <c r="W15" s="1">
        <v>0</v>
      </c>
      <c r="X15" s="1">
        <v>8</v>
      </c>
      <c r="Y15" s="1">
        <v>0</v>
      </c>
      <c r="Z15" s="1"/>
      <c r="AA15" s="1">
        <v>0</v>
      </c>
      <c r="AB15" s="1">
        <v>26</v>
      </c>
      <c r="AC15" s="1">
        <v>0</v>
      </c>
      <c r="AD15" s="1">
        <v>0</v>
      </c>
      <c r="AE15" s="1">
        <v>0</v>
      </c>
      <c r="AF15" s="1"/>
      <c r="AG15" s="5">
        <f t="shared" si="0"/>
        <v>295</v>
      </c>
      <c r="AH15" s="5">
        <f>MAI!AH15+AG15</f>
        <v>468</v>
      </c>
    </row>
    <row r="16" spans="1:34" ht="25.35" customHeight="1">
      <c r="A16" s="2" t="s">
        <v>16</v>
      </c>
      <c r="B16" s="1">
        <v>0</v>
      </c>
      <c r="C16" s="1"/>
      <c r="D16" s="1">
        <v>10</v>
      </c>
      <c r="E16" s="1">
        <v>37</v>
      </c>
      <c r="F16" s="1">
        <v>46</v>
      </c>
      <c r="G16" s="1">
        <v>0</v>
      </c>
      <c r="H16" s="1">
        <v>0</v>
      </c>
      <c r="I16" s="1"/>
      <c r="J16" s="1"/>
      <c r="K16" s="1">
        <v>0</v>
      </c>
      <c r="L16" s="1">
        <v>26</v>
      </c>
      <c r="M16" s="1">
        <v>0</v>
      </c>
      <c r="N16" s="1">
        <v>31</v>
      </c>
      <c r="O16" s="1"/>
      <c r="P16" s="1">
        <v>2</v>
      </c>
      <c r="Q16" s="1">
        <v>2</v>
      </c>
      <c r="R16" s="1">
        <v>10</v>
      </c>
      <c r="S16" s="1">
        <v>21</v>
      </c>
      <c r="T16" s="1"/>
      <c r="U16" s="1">
        <v>0</v>
      </c>
      <c r="V16" s="1">
        <v>49</v>
      </c>
      <c r="W16" s="1">
        <v>4</v>
      </c>
      <c r="X16" s="1">
        <v>0</v>
      </c>
      <c r="Y16" s="1">
        <v>0</v>
      </c>
      <c r="Z16" s="1"/>
      <c r="AA16" s="1">
        <v>0</v>
      </c>
      <c r="AB16" s="1">
        <v>11</v>
      </c>
      <c r="AC16" s="1">
        <v>10</v>
      </c>
      <c r="AD16" s="1">
        <v>3</v>
      </c>
      <c r="AE16" s="1">
        <v>0</v>
      </c>
      <c r="AF16" s="1"/>
      <c r="AG16" s="5">
        <f t="shared" si="0"/>
        <v>262</v>
      </c>
      <c r="AH16" s="5">
        <f>MAI!AH16+AG16</f>
        <v>472</v>
      </c>
    </row>
    <row r="17" spans="1:34" ht="25.35" customHeight="1">
      <c r="A17" s="2" t="s">
        <v>12</v>
      </c>
      <c r="B17" s="1">
        <v>7</v>
      </c>
      <c r="C17" s="1"/>
      <c r="D17" s="1">
        <v>17</v>
      </c>
      <c r="E17" s="1">
        <v>40</v>
      </c>
      <c r="F17" s="1">
        <v>0</v>
      </c>
      <c r="G17" s="1">
        <v>0</v>
      </c>
      <c r="H17" s="1">
        <v>11</v>
      </c>
      <c r="I17" s="1"/>
      <c r="J17" s="1"/>
      <c r="K17" s="1">
        <v>20</v>
      </c>
      <c r="L17" s="1">
        <v>18</v>
      </c>
      <c r="M17" s="1">
        <v>0</v>
      </c>
      <c r="N17" s="1">
        <v>3</v>
      </c>
      <c r="O17" s="1"/>
      <c r="P17" s="1">
        <v>6</v>
      </c>
      <c r="Q17" s="1">
        <v>15</v>
      </c>
      <c r="R17" s="1">
        <v>37</v>
      </c>
      <c r="S17" s="1">
        <v>1</v>
      </c>
      <c r="T17" s="1"/>
      <c r="U17" s="1">
        <v>10</v>
      </c>
      <c r="V17" s="1">
        <v>72</v>
      </c>
      <c r="W17" s="1">
        <v>0</v>
      </c>
      <c r="X17" s="1">
        <v>5</v>
      </c>
      <c r="Y17" s="1">
        <v>0</v>
      </c>
      <c r="Z17" s="1"/>
      <c r="AA17" s="1">
        <v>0</v>
      </c>
      <c r="AB17" s="1">
        <v>2</v>
      </c>
      <c r="AC17" s="1">
        <v>1</v>
      </c>
      <c r="AD17" s="1">
        <v>25</v>
      </c>
      <c r="AE17" s="1">
        <v>7</v>
      </c>
      <c r="AF17" s="1"/>
      <c r="AG17" s="5">
        <f t="shared" si="0"/>
        <v>297</v>
      </c>
      <c r="AH17" s="5">
        <f>MAI!AH17+AG17</f>
        <v>482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17"/>
  <sheetViews>
    <sheetView workbookViewId="0">
      <selection activeCell="AK15" sqref="AK15"/>
    </sheetView>
  </sheetViews>
  <sheetFormatPr baseColWidth="10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8</v>
      </c>
      <c r="D8" s="1">
        <v>0</v>
      </c>
      <c r="E8" s="1">
        <v>59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3</v>
      </c>
      <c r="L8" s="1">
        <v>0</v>
      </c>
      <c r="M8" s="1">
        <v>4</v>
      </c>
      <c r="N8" s="1">
        <v>5</v>
      </c>
      <c r="O8" s="1">
        <v>38</v>
      </c>
      <c r="P8" s="1">
        <v>1</v>
      </c>
      <c r="Q8" s="1">
        <v>0</v>
      </c>
      <c r="R8" s="1">
        <v>6</v>
      </c>
      <c r="S8" s="1">
        <v>0</v>
      </c>
      <c r="T8" s="1"/>
      <c r="U8" s="1">
        <v>20</v>
      </c>
      <c r="V8" s="1">
        <v>0</v>
      </c>
      <c r="W8" s="1"/>
      <c r="X8" s="1">
        <v>7</v>
      </c>
      <c r="Y8" s="1">
        <v>12</v>
      </c>
      <c r="Z8" s="1">
        <v>0</v>
      </c>
      <c r="AA8" s="1">
        <v>1</v>
      </c>
      <c r="AB8" s="1">
        <v>2</v>
      </c>
      <c r="AC8" s="1">
        <v>1</v>
      </c>
      <c r="AD8" s="1">
        <v>0</v>
      </c>
      <c r="AE8" s="1">
        <v>26</v>
      </c>
      <c r="AF8" s="1">
        <v>2</v>
      </c>
      <c r="AG8" s="5">
        <f>SUM(B8:AF8)</f>
        <v>195</v>
      </c>
      <c r="AH8" s="5">
        <f>JUIN!AH8+AG8</f>
        <v>401</v>
      </c>
    </row>
    <row r="9" spans="1:34" ht="25.35" customHeight="1">
      <c r="A9" s="2" t="s">
        <v>7</v>
      </c>
      <c r="B9" s="1">
        <v>0</v>
      </c>
      <c r="C9" s="1">
        <v>2</v>
      </c>
      <c r="D9" s="1">
        <v>13</v>
      </c>
      <c r="E9" s="1">
        <v>9</v>
      </c>
      <c r="F9" s="1">
        <v>3</v>
      </c>
      <c r="G9" s="1">
        <v>0</v>
      </c>
      <c r="H9" s="1">
        <v>2</v>
      </c>
      <c r="I9" s="1">
        <v>4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37</v>
      </c>
      <c r="P9" s="1">
        <v>0</v>
      </c>
      <c r="Q9" s="1">
        <v>0</v>
      </c>
      <c r="R9" s="1">
        <v>0</v>
      </c>
      <c r="S9" s="1">
        <v>0</v>
      </c>
      <c r="T9" s="1"/>
      <c r="U9" s="1">
        <v>0</v>
      </c>
      <c r="V9" s="1">
        <v>36</v>
      </c>
      <c r="W9" s="1"/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24</v>
      </c>
      <c r="AG9" s="5">
        <f t="shared" ref="AG9:AG17" si="0">SUM(B9:AF9)</f>
        <v>132</v>
      </c>
      <c r="AH9" s="5">
        <f>JUIN!AH9+AG9</f>
        <v>310</v>
      </c>
    </row>
    <row r="10" spans="1:34" ht="25.35" customHeight="1">
      <c r="A10" s="2" t="s">
        <v>8</v>
      </c>
      <c r="B10" s="1">
        <v>0</v>
      </c>
      <c r="C10" s="1">
        <v>0</v>
      </c>
      <c r="D10" s="1">
        <v>0</v>
      </c>
      <c r="E10" s="1">
        <v>26</v>
      </c>
      <c r="F10" s="1">
        <v>4</v>
      </c>
      <c r="G10" s="1">
        <v>0</v>
      </c>
      <c r="H10" s="1">
        <v>36</v>
      </c>
      <c r="I10" s="1">
        <v>3</v>
      </c>
      <c r="J10" s="1">
        <v>0</v>
      </c>
      <c r="K10" s="1">
        <v>18</v>
      </c>
      <c r="L10" s="1">
        <v>0</v>
      </c>
      <c r="M10" s="1">
        <v>4</v>
      </c>
      <c r="N10" s="1">
        <v>0</v>
      </c>
      <c r="O10" s="1">
        <v>3</v>
      </c>
      <c r="P10" s="1">
        <v>0</v>
      </c>
      <c r="Q10" s="1">
        <v>0</v>
      </c>
      <c r="R10" s="1">
        <v>0</v>
      </c>
      <c r="S10" s="1">
        <v>0</v>
      </c>
      <c r="T10" s="1"/>
      <c r="U10" s="1">
        <v>8</v>
      </c>
      <c r="V10" s="1">
        <v>0</v>
      </c>
      <c r="W10" s="1"/>
      <c r="X10" s="1">
        <v>56</v>
      </c>
      <c r="Y10" s="1">
        <v>13</v>
      </c>
      <c r="Z10" s="1">
        <v>4</v>
      </c>
      <c r="AA10" s="1">
        <v>0</v>
      </c>
      <c r="AB10" s="1">
        <v>0</v>
      </c>
      <c r="AC10" s="1">
        <v>0</v>
      </c>
      <c r="AD10" s="1">
        <v>0</v>
      </c>
      <c r="AE10" s="1">
        <v>71</v>
      </c>
      <c r="AF10" s="1">
        <v>0</v>
      </c>
      <c r="AG10" s="5">
        <f t="shared" si="0"/>
        <v>246</v>
      </c>
      <c r="AH10" s="5">
        <f>JUIN!AH10+AG10</f>
        <v>421</v>
      </c>
    </row>
    <row r="11" spans="1:34" ht="25.35" customHeight="1">
      <c r="A11" s="2" t="s">
        <v>5</v>
      </c>
      <c r="B11" s="1">
        <v>0</v>
      </c>
      <c r="C11" s="1">
        <v>0</v>
      </c>
      <c r="D11" s="1">
        <v>4</v>
      </c>
      <c r="E11" s="1">
        <v>3</v>
      </c>
      <c r="F11" s="1">
        <v>0</v>
      </c>
      <c r="G11" s="1">
        <v>0</v>
      </c>
      <c r="H11" s="1">
        <v>8</v>
      </c>
      <c r="I11" s="1">
        <v>8</v>
      </c>
      <c r="J11" s="1">
        <v>0</v>
      </c>
      <c r="K11" s="1">
        <v>18</v>
      </c>
      <c r="L11" s="1">
        <v>11</v>
      </c>
      <c r="M11" s="1">
        <v>0</v>
      </c>
      <c r="N11" s="1">
        <v>0</v>
      </c>
      <c r="O11" s="1">
        <v>26</v>
      </c>
      <c r="P11" s="1">
        <v>0</v>
      </c>
      <c r="Q11" s="1">
        <v>0</v>
      </c>
      <c r="R11" s="1">
        <v>0</v>
      </c>
      <c r="S11" s="1">
        <v>0</v>
      </c>
      <c r="T11" s="1"/>
      <c r="U11" s="1">
        <v>0</v>
      </c>
      <c r="V11" s="1">
        <v>26</v>
      </c>
      <c r="W11" s="1"/>
      <c r="X11" s="1">
        <v>0</v>
      </c>
      <c r="Y11" s="1">
        <v>0</v>
      </c>
      <c r="Z11" s="1">
        <v>0</v>
      </c>
      <c r="AA11" s="1">
        <v>10</v>
      </c>
      <c r="AB11" s="1">
        <v>0</v>
      </c>
      <c r="AC11" s="1">
        <v>0</v>
      </c>
      <c r="AD11" s="1">
        <v>0</v>
      </c>
      <c r="AE11" s="1">
        <v>6</v>
      </c>
      <c r="AF11" s="1">
        <v>0</v>
      </c>
      <c r="AG11" s="5">
        <f t="shared" si="0"/>
        <v>120</v>
      </c>
      <c r="AH11" s="5">
        <f>JUIN!AH11+AG11</f>
        <v>307</v>
      </c>
    </row>
    <row r="12" spans="1:34" ht="25.35" customHeight="1">
      <c r="A12" s="2" t="s">
        <v>4</v>
      </c>
      <c r="B12" s="1">
        <v>1</v>
      </c>
      <c r="C12" s="1">
        <v>0</v>
      </c>
      <c r="D12" s="1">
        <v>0</v>
      </c>
      <c r="E12" s="1">
        <v>35</v>
      </c>
      <c r="F12" s="1">
        <v>0</v>
      </c>
      <c r="G12" s="1">
        <v>0</v>
      </c>
      <c r="H12" s="1">
        <v>0</v>
      </c>
      <c r="I12" s="1">
        <v>25</v>
      </c>
      <c r="J12" s="1">
        <v>0</v>
      </c>
      <c r="K12" s="1">
        <v>9</v>
      </c>
      <c r="L12" s="1">
        <v>0</v>
      </c>
      <c r="M12" s="1">
        <v>0</v>
      </c>
      <c r="N12" s="1">
        <v>12</v>
      </c>
      <c r="O12" s="1">
        <v>0</v>
      </c>
      <c r="P12" s="1">
        <v>2</v>
      </c>
      <c r="Q12" s="1">
        <v>0</v>
      </c>
      <c r="R12" s="1">
        <v>1</v>
      </c>
      <c r="S12" s="1">
        <v>5</v>
      </c>
      <c r="T12" s="1"/>
      <c r="U12" s="1">
        <v>0</v>
      </c>
      <c r="V12" s="1">
        <v>40</v>
      </c>
      <c r="W12" s="1"/>
      <c r="X12" s="1">
        <v>0</v>
      </c>
      <c r="Y12" s="1">
        <v>3</v>
      </c>
      <c r="Z12" s="1">
        <v>0</v>
      </c>
      <c r="AA12" s="1">
        <v>0</v>
      </c>
      <c r="AB12" s="1">
        <v>0</v>
      </c>
      <c r="AC12" s="1">
        <v>1</v>
      </c>
      <c r="AD12" s="1">
        <v>6</v>
      </c>
      <c r="AE12" s="1">
        <v>25</v>
      </c>
      <c r="AF12" s="1">
        <v>0</v>
      </c>
      <c r="AG12" s="5">
        <f t="shared" si="0"/>
        <v>165</v>
      </c>
      <c r="AH12" s="5">
        <f>JUIN!AH12+AG12</f>
        <v>603</v>
      </c>
    </row>
    <row r="13" spans="1:34" ht="25.35" customHeight="1">
      <c r="A13" s="2" t="s">
        <v>9</v>
      </c>
      <c r="B13" s="1">
        <v>0</v>
      </c>
      <c r="C13" s="1">
        <v>0</v>
      </c>
      <c r="D13" s="1">
        <v>0</v>
      </c>
      <c r="E13" s="1">
        <v>37</v>
      </c>
      <c r="F13" s="1">
        <v>0</v>
      </c>
      <c r="G13" s="1">
        <v>0</v>
      </c>
      <c r="H13" s="1">
        <v>0</v>
      </c>
      <c r="I13" s="1">
        <v>15</v>
      </c>
      <c r="J13" s="1">
        <v>0</v>
      </c>
      <c r="K13" s="1">
        <v>3</v>
      </c>
      <c r="L13" s="1">
        <v>0</v>
      </c>
      <c r="M13" s="1">
        <v>0</v>
      </c>
      <c r="N13" s="1">
        <v>8</v>
      </c>
      <c r="O13" s="1">
        <v>0</v>
      </c>
      <c r="P13" s="1">
        <v>0</v>
      </c>
      <c r="Q13" s="1">
        <v>0</v>
      </c>
      <c r="R13" s="1">
        <v>0</v>
      </c>
      <c r="S13" s="1">
        <v>10</v>
      </c>
      <c r="T13" s="1"/>
      <c r="U13" s="1">
        <v>0</v>
      </c>
      <c r="V13" s="1">
        <v>15</v>
      </c>
      <c r="W13" s="1"/>
      <c r="X13" s="1">
        <v>0</v>
      </c>
      <c r="Y13" s="1">
        <v>5</v>
      </c>
      <c r="Z13" s="1">
        <v>0</v>
      </c>
      <c r="AA13" s="1">
        <v>0</v>
      </c>
      <c r="AB13" s="1">
        <v>12</v>
      </c>
      <c r="AC13" s="1">
        <v>0</v>
      </c>
      <c r="AD13" s="1">
        <v>0</v>
      </c>
      <c r="AE13" s="1">
        <v>23</v>
      </c>
      <c r="AF13" s="1">
        <v>18</v>
      </c>
      <c r="AG13" s="5">
        <f t="shared" si="0"/>
        <v>146</v>
      </c>
      <c r="AH13" s="5">
        <f>JUIN!AH13+AG13</f>
        <v>357</v>
      </c>
    </row>
    <row r="14" spans="1:34" ht="25.35" customHeight="1">
      <c r="A14" s="2" t="s">
        <v>15</v>
      </c>
      <c r="B14" s="1">
        <v>0</v>
      </c>
      <c r="C14" s="1">
        <v>21</v>
      </c>
      <c r="D14" s="1">
        <v>0</v>
      </c>
      <c r="E14" s="1">
        <v>17</v>
      </c>
      <c r="F14" s="1">
        <v>0</v>
      </c>
      <c r="G14" s="1">
        <v>7</v>
      </c>
      <c r="H14" s="1">
        <v>0</v>
      </c>
      <c r="I14" s="1">
        <v>47</v>
      </c>
      <c r="J14" s="1">
        <v>0</v>
      </c>
      <c r="K14" s="1">
        <v>5</v>
      </c>
      <c r="L14" s="1">
        <v>0</v>
      </c>
      <c r="M14" s="1">
        <v>12</v>
      </c>
      <c r="N14" s="1">
        <v>34</v>
      </c>
      <c r="O14" s="1">
        <v>0</v>
      </c>
      <c r="P14" s="1">
        <v>0</v>
      </c>
      <c r="Q14" s="1">
        <v>0</v>
      </c>
      <c r="R14" s="1">
        <v>66</v>
      </c>
      <c r="S14" s="1">
        <v>1</v>
      </c>
      <c r="T14" s="1"/>
      <c r="U14" s="1">
        <v>6</v>
      </c>
      <c r="V14" s="1">
        <v>34</v>
      </c>
      <c r="W14" s="1"/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15</v>
      </c>
      <c r="AD14" s="1">
        <v>0</v>
      </c>
      <c r="AE14" s="1">
        <v>95</v>
      </c>
      <c r="AF14" s="1">
        <v>2</v>
      </c>
      <c r="AG14" s="5">
        <f t="shared" ref="AG14" si="1">SUM(B14:AF14)</f>
        <v>362</v>
      </c>
      <c r="AH14" s="5">
        <f>JUIN!AH14+AG14</f>
        <v>826</v>
      </c>
    </row>
    <row r="15" spans="1:34" ht="25.35" customHeight="1">
      <c r="A15" s="2" t="s">
        <v>17</v>
      </c>
      <c r="B15" s="1">
        <v>27</v>
      </c>
      <c r="C15" s="1">
        <v>0</v>
      </c>
      <c r="D15" s="1">
        <v>0</v>
      </c>
      <c r="E15" s="1">
        <v>13</v>
      </c>
      <c r="F15" s="1">
        <v>0</v>
      </c>
      <c r="G15" s="1">
        <v>0</v>
      </c>
      <c r="H15" s="1">
        <v>0</v>
      </c>
      <c r="I15" s="1">
        <v>4</v>
      </c>
      <c r="J15" s="1">
        <v>0</v>
      </c>
      <c r="K15" s="1">
        <v>0</v>
      </c>
      <c r="L15" s="1">
        <v>0</v>
      </c>
      <c r="M15" s="1">
        <v>4</v>
      </c>
      <c r="N15" s="1">
        <v>0</v>
      </c>
      <c r="O15" s="1">
        <v>2</v>
      </c>
      <c r="P15" s="1">
        <v>0</v>
      </c>
      <c r="Q15" s="1">
        <v>0</v>
      </c>
      <c r="R15" s="1">
        <v>28</v>
      </c>
      <c r="S15" s="1">
        <v>0</v>
      </c>
      <c r="T15" s="1"/>
      <c r="U15" s="1">
        <v>44</v>
      </c>
      <c r="V15" s="1">
        <v>71</v>
      </c>
      <c r="W15" s="1"/>
      <c r="X15" s="1">
        <v>0</v>
      </c>
      <c r="Y15" s="1">
        <v>35</v>
      </c>
      <c r="Z15" s="1">
        <v>0</v>
      </c>
      <c r="AA15" s="1">
        <v>0</v>
      </c>
      <c r="AB15" s="1">
        <v>0</v>
      </c>
      <c r="AC15" s="1">
        <v>11</v>
      </c>
      <c r="AD15" s="1">
        <v>0</v>
      </c>
      <c r="AE15" s="1">
        <v>38</v>
      </c>
      <c r="AF15" s="1">
        <v>10</v>
      </c>
      <c r="AG15" s="5">
        <f t="shared" si="0"/>
        <v>287</v>
      </c>
      <c r="AH15" s="5">
        <f>JUIN!AH15+AG15</f>
        <v>755</v>
      </c>
    </row>
    <row r="16" spans="1:34" ht="25.35" customHeight="1">
      <c r="A16" s="2" t="s">
        <v>16</v>
      </c>
      <c r="B16" s="1">
        <v>20</v>
      </c>
      <c r="C16" s="1">
        <v>0</v>
      </c>
      <c r="D16" s="1">
        <v>0</v>
      </c>
      <c r="E16" s="1">
        <v>18</v>
      </c>
      <c r="F16" s="1">
        <v>2</v>
      </c>
      <c r="G16" s="1">
        <v>0</v>
      </c>
      <c r="H16" s="1">
        <v>4</v>
      </c>
      <c r="I16" s="1">
        <v>31</v>
      </c>
      <c r="J16" s="1">
        <v>25</v>
      </c>
      <c r="K16" s="1">
        <v>47</v>
      </c>
      <c r="L16" s="1">
        <v>20</v>
      </c>
      <c r="M16" s="1">
        <v>0</v>
      </c>
      <c r="N16" s="1">
        <v>0</v>
      </c>
      <c r="O16" s="1">
        <v>29</v>
      </c>
      <c r="P16" s="1">
        <v>0</v>
      </c>
      <c r="Q16" s="1">
        <v>8</v>
      </c>
      <c r="R16" s="1">
        <v>11</v>
      </c>
      <c r="S16" s="1">
        <v>0</v>
      </c>
      <c r="T16" s="1"/>
      <c r="U16" s="1">
        <v>49</v>
      </c>
      <c r="V16" s="1">
        <v>1</v>
      </c>
      <c r="W16" s="1"/>
      <c r="X16" s="1">
        <v>50</v>
      </c>
      <c r="Y16" s="1">
        <v>4</v>
      </c>
      <c r="Z16" s="1">
        <v>4</v>
      </c>
      <c r="AA16" s="1">
        <v>0</v>
      </c>
      <c r="AB16" s="1">
        <v>0</v>
      </c>
      <c r="AC16" s="1">
        <v>25</v>
      </c>
      <c r="AD16" s="1">
        <v>0</v>
      </c>
      <c r="AE16" s="1">
        <v>24</v>
      </c>
      <c r="AF16" s="1">
        <v>0</v>
      </c>
      <c r="AG16" s="5">
        <f t="shared" si="0"/>
        <v>372</v>
      </c>
      <c r="AH16" s="5">
        <f>JUIN!AH16+AG16</f>
        <v>844</v>
      </c>
    </row>
    <row r="17" spans="1:34" ht="25.35" customHeight="1">
      <c r="A17" s="2" t="s">
        <v>12</v>
      </c>
      <c r="B17" s="1">
        <v>6</v>
      </c>
      <c r="C17" s="1">
        <v>5</v>
      </c>
      <c r="D17" s="1">
        <v>0</v>
      </c>
      <c r="E17" s="1">
        <v>5</v>
      </c>
      <c r="F17" s="1">
        <v>2</v>
      </c>
      <c r="G17" s="1">
        <v>0</v>
      </c>
      <c r="H17" s="1">
        <v>55</v>
      </c>
      <c r="I17" s="1">
        <v>11</v>
      </c>
      <c r="J17" s="1">
        <v>6</v>
      </c>
      <c r="K17" s="1">
        <v>64</v>
      </c>
      <c r="L17" s="1">
        <v>1</v>
      </c>
      <c r="M17" s="1">
        <v>0</v>
      </c>
      <c r="N17" s="1">
        <v>0</v>
      </c>
      <c r="O17" s="1">
        <v>11</v>
      </c>
      <c r="P17" s="1">
        <v>0</v>
      </c>
      <c r="Q17" s="1">
        <v>20</v>
      </c>
      <c r="R17" s="1">
        <v>51</v>
      </c>
      <c r="S17" s="1">
        <v>0</v>
      </c>
      <c r="T17" s="1"/>
      <c r="U17" s="1">
        <v>0</v>
      </c>
      <c r="V17" s="1">
        <v>30</v>
      </c>
      <c r="W17" s="1"/>
      <c r="X17" s="1">
        <v>0</v>
      </c>
      <c r="Y17" s="1">
        <v>8</v>
      </c>
      <c r="Z17" s="1">
        <v>61</v>
      </c>
      <c r="AA17" s="1">
        <v>0</v>
      </c>
      <c r="AB17" s="1">
        <v>5</v>
      </c>
      <c r="AC17" s="1">
        <v>35</v>
      </c>
      <c r="AD17" s="1">
        <v>1</v>
      </c>
      <c r="AE17" s="1">
        <v>18</v>
      </c>
      <c r="AF17" s="1">
        <v>3</v>
      </c>
      <c r="AG17" s="5">
        <f t="shared" si="0"/>
        <v>398</v>
      </c>
      <c r="AH17" s="5">
        <f>JUIN!AH17+AG17</f>
        <v>880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17"/>
  <sheetViews>
    <sheetView workbookViewId="0">
      <selection activeCell="AK13" sqref="AK13"/>
    </sheetView>
  </sheetViews>
  <sheetFormatPr baseColWidth="10" defaultRowHeight="15"/>
  <cols>
    <col min="1" max="1" width="12" customWidth="1"/>
    <col min="2" max="32" width="3.7109375" customWidth="1"/>
    <col min="33" max="33" width="6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>
        <v>22</v>
      </c>
      <c r="E8" s="1">
        <v>0</v>
      </c>
      <c r="F8" s="1"/>
      <c r="G8" s="1">
        <v>0</v>
      </c>
      <c r="H8" s="1">
        <v>4</v>
      </c>
      <c r="I8" s="1">
        <v>23</v>
      </c>
      <c r="J8" s="1">
        <v>2</v>
      </c>
      <c r="K8" s="1">
        <v>3</v>
      </c>
      <c r="L8" s="1">
        <v>3</v>
      </c>
      <c r="M8" s="1">
        <v>16</v>
      </c>
      <c r="N8" s="1">
        <v>0</v>
      </c>
      <c r="O8" s="1">
        <v>0</v>
      </c>
      <c r="P8" s="1">
        <v>0</v>
      </c>
      <c r="Q8" s="1">
        <v>16</v>
      </c>
      <c r="R8" s="1"/>
      <c r="S8" s="1">
        <v>0</v>
      </c>
      <c r="T8" s="1"/>
      <c r="U8" s="1">
        <v>19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11</v>
      </c>
      <c r="AC8" s="1">
        <v>0</v>
      </c>
      <c r="AD8" s="1">
        <v>14</v>
      </c>
      <c r="AE8" s="1">
        <v>0</v>
      </c>
      <c r="AF8" s="1">
        <v>0</v>
      </c>
      <c r="AG8" s="5">
        <f>SUM(B8:AF8)</f>
        <v>134</v>
      </c>
      <c r="AH8" s="5">
        <f>JUILLET!AH8+AG8</f>
        <v>535</v>
      </c>
    </row>
    <row r="9" spans="1:34" ht="25.35" customHeight="1">
      <c r="A9" s="2" t="s">
        <v>7</v>
      </c>
      <c r="B9" s="1"/>
      <c r="C9" s="1"/>
      <c r="D9" s="1">
        <v>31</v>
      </c>
      <c r="E9" s="1">
        <v>0</v>
      </c>
      <c r="F9" s="1"/>
      <c r="G9" s="1">
        <v>0</v>
      </c>
      <c r="H9" s="1">
        <v>0</v>
      </c>
      <c r="I9" s="1">
        <v>25</v>
      </c>
      <c r="J9" s="1">
        <v>10</v>
      </c>
      <c r="K9" s="1">
        <v>1</v>
      </c>
      <c r="L9" s="1">
        <v>14</v>
      </c>
      <c r="M9" s="1">
        <v>4</v>
      </c>
      <c r="N9" s="1">
        <v>7</v>
      </c>
      <c r="O9" s="1">
        <v>0</v>
      </c>
      <c r="P9" s="1">
        <v>1</v>
      </c>
      <c r="Q9" s="1">
        <v>11</v>
      </c>
      <c r="R9" s="1"/>
      <c r="S9" s="1">
        <v>0</v>
      </c>
      <c r="T9" s="1"/>
      <c r="U9" s="1">
        <v>29</v>
      </c>
      <c r="V9" s="1">
        <v>66</v>
      </c>
      <c r="W9" s="1">
        <v>6</v>
      </c>
      <c r="X9" s="1">
        <v>1</v>
      </c>
      <c r="Y9" s="1">
        <v>0</v>
      </c>
      <c r="Z9" s="1">
        <v>1</v>
      </c>
      <c r="AA9" s="1">
        <v>0</v>
      </c>
      <c r="AB9" s="1">
        <v>4</v>
      </c>
      <c r="AC9" s="1">
        <v>1</v>
      </c>
      <c r="AD9" s="1">
        <v>1</v>
      </c>
      <c r="AE9" s="1">
        <v>3</v>
      </c>
      <c r="AF9" s="1">
        <v>0</v>
      </c>
      <c r="AG9" s="5">
        <f t="shared" ref="AG9:AG17" si="0">SUM(B9:AF9)</f>
        <v>216</v>
      </c>
      <c r="AH9" s="5">
        <f>JUILLET!AH9+AG9</f>
        <v>526</v>
      </c>
    </row>
    <row r="10" spans="1:34" ht="25.35" customHeight="1">
      <c r="A10" s="2" t="s">
        <v>8</v>
      </c>
      <c r="B10" s="1"/>
      <c r="C10" s="1"/>
      <c r="D10" s="1">
        <v>50</v>
      </c>
      <c r="E10" s="1">
        <v>0</v>
      </c>
      <c r="F10" s="1"/>
      <c r="G10" s="1">
        <v>0</v>
      </c>
      <c r="H10" s="1">
        <v>0</v>
      </c>
      <c r="I10" s="1">
        <v>9</v>
      </c>
      <c r="J10" s="1">
        <v>12</v>
      </c>
      <c r="K10" s="1">
        <v>1</v>
      </c>
      <c r="L10" s="1">
        <v>7</v>
      </c>
      <c r="M10" s="1">
        <v>25</v>
      </c>
      <c r="N10" s="1">
        <v>50</v>
      </c>
      <c r="O10" s="1">
        <v>0</v>
      </c>
      <c r="P10" s="1">
        <v>2</v>
      </c>
      <c r="Q10" s="1">
        <v>42</v>
      </c>
      <c r="R10" s="1"/>
      <c r="S10" s="1">
        <v>0</v>
      </c>
      <c r="T10" s="1"/>
      <c r="U10" s="1">
        <v>12</v>
      </c>
      <c r="V10" s="1">
        <v>21</v>
      </c>
      <c r="W10" s="1">
        <v>8</v>
      </c>
      <c r="X10" s="1">
        <v>0</v>
      </c>
      <c r="Y10" s="1">
        <v>1</v>
      </c>
      <c r="Z10" s="1">
        <v>0</v>
      </c>
      <c r="AA10" s="1">
        <v>0</v>
      </c>
      <c r="AB10" s="1">
        <v>7</v>
      </c>
      <c r="AC10" s="1">
        <v>0</v>
      </c>
      <c r="AD10" s="1">
        <v>4</v>
      </c>
      <c r="AE10" s="1">
        <v>0</v>
      </c>
      <c r="AF10" s="1">
        <v>0</v>
      </c>
      <c r="AG10" s="5">
        <f t="shared" si="0"/>
        <v>251</v>
      </c>
      <c r="AH10" s="5">
        <f>JUILLET!AH10+AG10</f>
        <v>672</v>
      </c>
    </row>
    <row r="11" spans="1:34" ht="25.35" customHeight="1">
      <c r="A11" s="2" t="s">
        <v>5</v>
      </c>
      <c r="B11" s="1"/>
      <c r="C11" s="1"/>
      <c r="D11" s="1">
        <v>31</v>
      </c>
      <c r="E11" s="1">
        <v>0</v>
      </c>
      <c r="F11" s="1"/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0</v>
      </c>
      <c r="N11" s="1">
        <v>7</v>
      </c>
      <c r="O11" s="1">
        <v>0</v>
      </c>
      <c r="P11" s="1">
        <v>0</v>
      </c>
      <c r="Q11" s="1">
        <v>6</v>
      </c>
      <c r="R11" s="1"/>
      <c r="S11" s="1">
        <v>0</v>
      </c>
      <c r="T11" s="1"/>
      <c r="U11" s="1">
        <v>23</v>
      </c>
      <c r="V11" s="1">
        <v>0</v>
      </c>
      <c r="W11" s="1">
        <v>55</v>
      </c>
      <c r="X11" s="1">
        <v>0</v>
      </c>
      <c r="Y11" s="1">
        <v>2</v>
      </c>
      <c r="Z11" s="1">
        <v>0</v>
      </c>
      <c r="AA11" s="1">
        <v>0</v>
      </c>
      <c r="AB11" s="1">
        <v>25</v>
      </c>
      <c r="AC11" s="1">
        <v>0</v>
      </c>
      <c r="AD11" s="1">
        <v>2</v>
      </c>
      <c r="AE11" s="1">
        <v>0</v>
      </c>
      <c r="AF11" s="1">
        <v>1</v>
      </c>
      <c r="AG11" s="5">
        <f t="shared" si="0"/>
        <v>154</v>
      </c>
      <c r="AH11" s="5">
        <f>JUILLET!AH11+AG11</f>
        <v>461</v>
      </c>
    </row>
    <row r="12" spans="1:34" ht="25.35" customHeight="1">
      <c r="A12" s="2" t="s">
        <v>4</v>
      </c>
      <c r="B12" s="1"/>
      <c r="C12" s="1"/>
      <c r="D12" s="1">
        <v>30</v>
      </c>
      <c r="E12" s="1">
        <v>0</v>
      </c>
      <c r="F12" s="1"/>
      <c r="G12" s="1">
        <v>2</v>
      </c>
      <c r="H12" s="1">
        <v>0</v>
      </c>
      <c r="I12" s="1">
        <v>25</v>
      </c>
      <c r="J12" s="1">
        <v>0</v>
      </c>
      <c r="K12" s="1">
        <v>3</v>
      </c>
      <c r="L12" s="1">
        <v>0</v>
      </c>
      <c r="M12" s="1">
        <v>0</v>
      </c>
      <c r="N12" s="1">
        <v>2</v>
      </c>
      <c r="O12" s="1">
        <v>0</v>
      </c>
      <c r="P12" s="1">
        <v>13</v>
      </c>
      <c r="Q12" s="1">
        <v>4</v>
      </c>
      <c r="R12" s="1"/>
      <c r="S12" s="1">
        <v>0</v>
      </c>
      <c r="T12" s="1"/>
      <c r="U12" s="1">
        <v>23</v>
      </c>
      <c r="V12" s="1">
        <v>1</v>
      </c>
      <c r="W12" s="1">
        <v>1</v>
      </c>
      <c r="X12" s="1">
        <v>0</v>
      </c>
      <c r="Y12" s="1">
        <v>14</v>
      </c>
      <c r="Z12" s="1">
        <v>14</v>
      </c>
      <c r="AA12" s="1">
        <v>2</v>
      </c>
      <c r="AB12" s="1">
        <v>10</v>
      </c>
      <c r="AC12" s="1">
        <v>0</v>
      </c>
      <c r="AD12" s="1">
        <v>3</v>
      </c>
      <c r="AE12" s="1">
        <v>5</v>
      </c>
      <c r="AF12" s="1">
        <v>0</v>
      </c>
      <c r="AG12" s="5">
        <f t="shared" si="0"/>
        <v>152</v>
      </c>
      <c r="AH12" s="5">
        <f>JUILLET!AH12+AG12</f>
        <v>755</v>
      </c>
    </row>
    <row r="13" spans="1:34" ht="25.35" customHeight="1">
      <c r="A13" s="2" t="s">
        <v>9</v>
      </c>
      <c r="B13" s="1"/>
      <c r="C13" s="1"/>
      <c r="D13" s="1">
        <v>31</v>
      </c>
      <c r="E13" s="1">
        <v>0</v>
      </c>
      <c r="F13" s="1"/>
      <c r="G13" s="1">
        <v>16</v>
      </c>
      <c r="H13" s="1">
        <v>0</v>
      </c>
      <c r="I13" s="1">
        <v>2</v>
      </c>
      <c r="J13" s="1">
        <v>0</v>
      </c>
      <c r="K13" s="1">
        <v>5</v>
      </c>
      <c r="L13" s="1">
        <v>0</v>
      </c>
      <c r="M13" s="1">
        <v>0</v>
      </c>
      <c r="N13" s="1">
        <v>5</v>
      </c>
      <c r="O13" s="1">
        <v>0</v>
      </c>
      <c r="P13" s="1">
        <v>0</v>
      </c>
      <c r="Q13" s="1">
        <v>25</v>
      </c>
      <c r="R13" s="1"/>
      <c r="S13" s="1">
        <v>0</v>
      </c>
      <c r="T13" s="1"/>
      <c r="U13" s="1">
        <v>4</v>
      </c>
      <c r="V13" s="1">
        <v>3</v>
      </c>
      <c r="W13" s="1">
        <v>0</v>
      </c>
      <c r="X13" s="1">
        <v>0</v>
      </c>
      <c r="Y13" s="1">
        <v>0</v>
      </c>
      <c r="Z13" s="1">
        <v>40</v>
      </c>
      <c r="AA13" s="1"/>
      <c r="AB13" s="1">
        <v>3</v>
      </c>
      <c r="AC13" s="1">
        <v>0</v>
      </c>
      <c r="AD13" s="1">
        <v>5</v>
      </c>
      <c r="AE13" s="1">
        <v>3</v>
      </c>
      <c r="AF13" s="1">
        <v>0</v>
      </c>
      <c r="AG13" s="5">
        <f t="shared" si="0"/>
        <v>142</v>
      </c>
      <c r="AH13" s="5">
        <f>JUILLET!AH13+AG13</f>
        <v>499</v>
      </c>
    </row>
    <row r="14" spans="1:34" ht="25.35" customHeight="1">
      <c r="A14" s="2" t="s">
        <v>15</v>
      </c>
      <c r="B14" s="1"/>
      <c r="C14" s="1"/>
      <c r="D14" s="1">
        <v>15</v>
      </c>
      <c r="E14" s="1">
        <v>0</v>
      </c>
      <c r="F14" s="1"/>
      <c r="G14" s="1">
        <v>55</v>
      </c>
      <c r="H14" s="1">
        <v>15</v>
      </c>
      <c r="I14" s="1">
        <v>36</v>
      </c>
      <c r="J14" s="1">
        <v>0</v>
      </c>
      <c r="K14" s="1">
        <v>11</v>
      </c>
      <c r="L14" s="1">
        <v>3</v>
      </c>
      <c r="M14" s="1">
        <v>26</v>
      </c>
      <c r="N14" s="1">
        <v>8</v>
      </c>
      <c r="O14" s="1">
        <v>0</v>
      </c>
      <c r="P14" s="1">
        <v>0</v>
      </c>
      <c r="Q14" s="1">
        <v>16</v>
      </c>
      <c r="R14" s="1"/>
      <c r="S14" s="1">
        <v>0</v>
      </c>
      <c r="T14" s="1"/>
      <c r="U14" s="1">
        <v>65</v>
      </c>
      <c r="V14" s="1">
        <v>38</v>
      </c>
      <c r="W14" s="1">
        <v>2</v>
      </c>
      <c r="X14" s="1">
        <v>2</v>
      </c>
      <c r="Y14" s="1">
        <v>0</v>
      </c>
      <c r="Z14" s="1">
        <v>48</v>
      </c>
      <c r="AA14" s="1"/>
      <c r="AB14" s="1">
        <v>4</v>
      </c>
      <c r="AC14" s="1">
        <v>0</v>
      </c>
      <c r="AD14" s="1">
        <v>24</v>
      </c>
      <c r="AE14" s="1">
        <v>0</v>
      </c>
      <c r="AF14" s="1">
        <v>2</v>
      </c>
      <c r="AG14" s="5">
        <f t="shared" ref="AG14" si="1">SUM(B14:AF14)</f>
        <v>370</v>
      </c>
      <c r="AH14" s="5">
        <f>JUILLET!AH14+AG14</f>
        <v>1196</v>
      </c>
    </row>
    <row r="15" spans="1:34" ht="25.35" customHeight="1">
      <c r="A15" s="2" t="s">
        <v>17</v>
      </c>
      <c r="B15" s="1"/>
      <c r="C15" s="1"/>
      <c r="D15" s="1">
        <v>15</v>
      </c>
      <c r="E15" s="1">
        <v>0</v>
      </c>
      <c r="F15" s="1"/>
      <c r="G15" s="1">
        <v>7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55</v>
      </c>
      <c r="O15" s="1">
        <v>0</v>
      </c>
      <c r="P15" s="1">
        <v>0</v>
      </c>
      <c r="Q15" s="1">
        <v>0</v>
      </c>
      <c r="R15" s="1"/>
      <c r="S15" s="1">
        <v>0</v>
      </c>
      <c r="T15" s="1"/>
      <c r="U15" s="1">
        <v>2</v>
      </c>
      <c r="V15" s="1">
        <v>40</v>
      </c>
      <c r="W15" s="1">
        <v>1</v>
      </c>
      <c r="X15" s="1">
        <v>0</v>
      </c>
      <c r="Y15" s="1">
        <v>0</v>
      </c>
      <c r="Z15" s="1">
        <v>5</v>
      </c>
      <c r="AA15" s="1">
        <v>1</v>
      </c>
      <c r="AB15" s="1">
        <v>47</v>
      </c>
      <c r="AC15" s="1">
        <v>0</v>
      </c>
      <c r="AD15" s="1">
        <v>3</v>
      </c>
      <c r="AE15" s="1">
        <v>0</v>
      </c>
      <c r="AF15" s="1">
        <v>0</v>
      </c>
      <c r="AG15" s="5">
        <f t="shared" si="0"/>
        <v>176</v>
      </c>
      <c r="AH15" s="5">
        <f>JUILLET!AH15+AG15</f>
        <v>931</v>
      </c>
    </row>
    <row r="16" spans="1:34" ht="25.35" customHeight="1">
      <c r="A16" s="2" t="s">
        <v>16</v>
      </c>
      <c r="B16" s="1"/>
      <c r="C16" s="1"/>
      <c r="D16" s="1">
        <v>17</v>
      </c>
      <c r="E16" s="1">
        <v>2</v>
      </c>
      <c r="F16" s="1"/>
      <c r="G16" s="1">
        <v>2</v>
      </c>
      <c r="H16" s="1">
        <v>1</v>
      </c>
      <c r="I16" s="1">
        <v>39</v>
      </c>
      <c r="J16" s="1">
        <v>0</v>
      </c>
      <c r="K16" s="1">
        <v>5</v>
      </c>
      <c r="L16" s="1">
        <v>0</v>
      </c>
      <c r="M16" s="1">
        <v>63</v>
      </c>
      <c r="N16" s="1">
        <v>0</v>
      </c>
      <c r="O16" s="1">
        <v>0</v>
      </c>
      <c r="P16" s="1">
        <v>0</v>
      </c>
      <c r="Q16" s="1">
        <v>3</v>
      </c>
      <c r="R16" s="1"/>
      <c r="S16" s="1">
        <v>3</v>
      </c>
      <c r="T16" s="1"/>
      <c r="U16" s="1">
        <v>46</v>
      </c>
      <c r="V16" s="1">
        <v>13</v>
      </c>
      <c r="W16" s="1">
        <v>0</v>
      </c>
      <c r="X16" s="1">
        <v>0</v>
      </c>
      <c r="Y16" s="1">
        <v>14</v>
      </c>
      <c r="Z16" s="1">
        <v>6</v>
      </c>
      <c r="AA16" s="1">
        <v>10</v>
      </c>
      <c r="AB16" s="1">
        <v>12</v>
      </c>
      <c r="AC16" s="1">
        <v>0</v>
      </c>
      <c r="AD16" s="1">
        <v>43</v>
      </c>
      <c r="AE16" s="1">
        <v>15</v>
      </c>
      <c r="AF16" s="1">
        <v>0</v>
      </c>
      <c r="AG16" s="5">
        <f t="shared" si="0"/>
        <v>294</v>
      </c>
      <c r="AH16" s="5">
        <f>JUILLET!AH16+AG16</f>
        <v>1138</v>
      </c>
    </row>
    <row r="17" spans="1:34" ht="25.35" customHeight="1">
      <c r="A17" s="2" t="s">
        <v>12</v>
      </c>
      <c r="B17" s="1"/>
      <c r="C17" s="1"/>
      <c r="D17" s="1">
        <v>25</v>
      </c>
      <c r="E17" s="1">
        <v>0</v>
      </c>
      <c r="F17" s="1"/>
      <c r="G17" s="1">
        <v>0</v>
      </c>
      <c r="H17" s="1">
        <v>0</v>
      </c>
      <c r="I17" s="1">
        <v>13</v>
      </c>
      <c r="J17" s="1">
        <v>0</v>
      </c>
      <c r="K17" s="1">
        <v>19</v>
      </c>
      <c r="L17" s="1">
        <v>2</v>
      </c>
      <c r="M17" s="1">
        <v>0</v>
      </c>
      <c r="N17" s="1">
        <v>96</v>
      </c>
      <c r="O17" s="1">
        <v>2</v>
      </c>
      <c r="P17" s="1">
        <v>2</v>
      </c>
      <c r="Q17" s="1">
        <v>3</v>
      </c>
      <c r="R17" s="1"/>
      <c r="S17" s="1">
        <v>0</v>
      </c>
      <c r="T17" s="1"/>
      <c r="U17" s="1">
        <v>6</v>
      </c>
      <c r="V17" s="1">
        <v>45</v>
      </c>
      <c r="W17" s="1">
        <v>7</v>
      </c>
      <c r="X17" s="1">
        <v>0</v>
      </c>
      <c r="Y17" s="1">
        <v>25</v>
      </c>
      <c r="Z17" s="1">
        <v>4</v>
      </c>
      <c r="AA17" s="1">
        <v>8</v>
      </c>
      <c r="AB17" s="1">
        <v>13</v>
      </c>
      <c r="AC17" s="1">
        <v>0</v>
      </c>
      <c r="AD17" s="1">
        <v>9</v>
      </c>
      <c r="AE17" s="1">
        <v>3</v>
      </c>
      <c r="AF17" s="1">
        <v>0</v>
      </c>
      <c r="AG17" s="5">
        <f t="shared" si="0"/>
        <v>282</v>
      </c>
      <c r="AH17" s="5">
        <f>JUILLET!AH17+AG17</f>
        <v>1162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H17"/>
  <sheetViews>
    <sheetView topLeftCell="A5" workbookViewId="0">
      <selection activeCell="AJ15" sqref="AJ15"/>
    </sheetView>
  </sheetViews>
  <sheetFormatPr baseColWidth="10" defaultRowHeight="15"/>
  <cols>
    <col min="1" max="1" width="12" customWidth="1"/>
    <col min="2" max="32" width="3.7109375" customWidth="1"/>
    <col min="33" max="33" width="5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0</v>
      </c>
      <c r="D8" s="1">
        <v>8</v>
      </c>
      <c r="E8" s="1">
        <v>0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K8" s="1">
        <v>4</v>
      </c>
      <c r="L8" s="1">
        <v>0</v>
      </c>
      <c r="M8" s="1">
        <v>0</v>
      </c>
      <c r="N8" s="1">
        <v>0</v>
      </c>
      <c r="O8" s="1">
        <v>4</v>
      </c>
      <c r="P8" s="1">
        <v>44</v>
      </c>
      <c r="Q8" s="1">
        <v>0</v>
      </c>
      <c r="R8" s="1">
        <v>7</v>
      </c>
      <c r="S8" s="1">
        <v>0</v>
      </c>
      <c r="T8" s="1">
        <v>0</v>
      </c>
      <c r="U8" s="1">
        <v>0</v>
      </c>
      <c r="V8" s="1">
        <v>3</v>
      </c>
      <c r="W8" s="1">
        <v>11</v>
      </c>
      <c r="X8" s="1">
        <v>4</v>
      </c>
      <c r="Y8" s="1">
        <v>0</v>
      </c>
      <c r="Z8" s="1">
        <v>2</v>
      </c>
      <c r="AA8" s="1">
        <v>0</v>
      </c>
      <c r="AB8" s="1">
        <v>0</v>
      </c>
      <c r="AC8" s="1"/>
      <c r="AD8" s="1">
        <v>0</v>
      </c>
      <c r="AE8" s="1"/>
      <c r="AF8" s="1"/>
      <c r="AG8" s="5">
        <f>SUM(B8:AF8)</f>
        <v>90</v>
      </c>
      <c r="AH8" s="5">
        <f>AOÛT!AH8+AG8</f>
        <v>625</v>
      </c>
    </row>
    <row r="9" spans="1:34" ht="25.35" customHeight="1">
      <c r="A9" s="2" t="s">
        <v>7</v>
      </c>
      <c r="B9" s="1">
        <v>0</v>
      </c>
      <c r="C9" s="1">
        <v>0</v>
      </c>
      <c r="D9" s="1">
        <v>0</v>
      </c>
      <c r="E9" s="1">
        <v>18</v>
      </c>
      <c r="F9" s="1">
        <v>0</v>
      </c>
      <c r="G9" s="1">
        <v>6</v>
      </c>
      <c r="H9" s="1">
        <v>9</v>
      </c>
      <c r="I9" s="1">
        <v>1</v>
      </c>
      <c r="J9" s="1">
        <v>0</v>
      </c>
      <c r="K9" s="1">
        <v>16</v>
      </c>
      <c r="L9" s="1">
        <v>0</v>
      </c>
      <c r="M9" s="1">
        <v>7</v>
      </c>
      <c r="N9" s="1">
        <v>0</v>
      </c>
      <c r="O9" s="1">
        <v>0</v>
      </c>
      <c r="P9" s="1">
        <v>75</v>
      </c>
      <c r="Q9" s="1">
        <v>4</v>
      </c>
      <c r="R9" s="1">
        <v>30</v>
      </c>
      <c r="S9" s="1">
        <v>0</v>
      </c>
      <c r="T9" s="1">
        <v>3</v>
      </c>
      <c r="U9" s="1">
        <v>0</v>
      </c>
      <c r="V9" s="1">
        <v>1</v>
      </c>
      <c r="W9" s="1">
        <v>4</v>
      </c>
      <c r="X9" s="1">
        <v>6</v>
      </c>
      <c r="Y9" s="1">
        <v>0</v>
      </c>
      <c r="Z9" s="1">
        <v>4</v>
      </c>
      <c r="AA9" s="1">
        <v>0</v>
      </c>
      <c r="AB9" s="1">
        <v>0</v>
      </c>
      <c r="AC9" s="1"/>
      <c r="AD9" s="1">
        <v>27</v>
      </c>
      <c r="AE9" s="1"/>
      <c r="AF9" s="1"/>
      <c r="AG9" s="5">
        <f t="shared" ref="AG9:AG17" si="0">SUM(B9:AF9)</f>
        <v>211</v>
      </c>
      <c r="AH9" s="5">
        <f>AOÛT!AH9+AG9</f>
        <v>737</v>
      </c>
    </row>
    <row r="10" spans="1:34" ht="25.35" customHeight="1">
      <c r="A10" s="2" t="s">
        <v>8</v>
      </c>
      <c r="B10" s="1">
        <v>0</v>
      </c>
      <c r="C10" s="1">
        <v>0</v>
      </c>
      <c r="D10" s="1">
        <v>0</v>
      </c>
      <c r="E10" s="1">
        <v>11</v>
      </c>
      <c r="F10" s="1">
        <v>3</v>
      </c>
      <c r="G10" s="1">
        <v>5</v>
      </c>
      <c r="H10" s="1">
        <v>2</v>
      </c>
      <c r="I10" s="1">
        <v>2</v>
      </c>
      <c r="J10" s="1">
        <v>0</v>
      </c>
      <c r="K10" s="1">
        <v>8</v>
      </c>
      <c r="L10" s="1">
        <v>0</v>
      </c>
      <c r="M10" s="1">
        <v>40</v>
      </c>
      <c r="N10" s="1">
        <v>0</v>
      </c>
      <c r="O10" s="1">
        <v>0</v>
      </c>
      <c r="P10" s="1">
        <v>3</v>
      </c>
      <c r="Q10" s="1">
        <v>40</v>
      </c>
      <c r="R10" s="1">
        <v>12</v>
      </c>
      <c r="S10" s="1">
        <v>0</v>
      </c>
      <c r="T10" s="1">
        <v>0</v>
      </c>
      <c r="U10" s="1">
        <v>0</v>
      </c>
      <c r="V10" s="1">
        <v>14</v>
      </c>
      <c r="W10" s="1">
        <v>0</v>
      </c>
      <c r="X10" s="1">
        <v>3</v>
      </c>
      <c r="Y10" s="1">
        <v>0</v>
      </c>
      <c r="Z10" s="1">
        <v>0</v>
      </c>
      <c r="AA10" s="1">
        <v>0</v>
      </c>
      <c r="AB10" s="1">
        <v>0</v>
      </c>
      <c r="AC10" s="1"/>
      <c r="AD10" s="1">
        <v>15</v>
      </c>
      <c r="AE10" s="1"/>
      <c r="AF10" s="1"/>
      <c r="AG10" s="5">
        <f t="shared" si="0"/>
        <v>158</v>
      </c>
      <c r="AH10" s="5">
        <f>AOÛT!AH10+AG10</f>
        <v>830</v>
      </c>
    </row>
    <row r="11" spans="1:34" ht="25.35" customHeight="1">
      <c r="A11" s="2" t="s">
        <v>5</v>
      </c>
      <c r="B11" s="1">
        <v>4</v>
      </c>
      <c r="C11" s="1">
        <v>0</v>
      </c>
      <c r="D11" s="1">
        <v>0</v>
      </c>
      <c r="E11" s="1">
        <v>0</v>
      </c>
      <c r="F11" s="1">
        <v>0</v>
      </c>
      <c r="G11" s="1">
        <v>8</v>
      </c>
      <c r="H11" s="1">
        <v>15</v>
      </c>
      <c r="I11" s="1">
        <v>0</v>
      </c>
      <c r="J11" s="1">
        <v>0</v>
      </c>
      <c r="K11" s="1">
        <v>9</v>
      </c>
      <c r="L11" s="1">
        <v>0</v>
      </c>
      <c r="M11" s="1">
        <v>0</v>
      </c>
      <c r="N11" s="1">
        <v>0</v>
      </c>
      <c r="O11" s="1">
        <v>0</v>
      </c>
      <c r="P11" s="1">
        <v>10</v>
      </c>
      <c r="Q11" s="1">
        <v>0</v>
      </c>
      <c r="R11" s="1">
        <v>26</v>
      </c>
      <c r="S11" s="1">
        <v>0</v>
      </c>
      <c r="T11" s="1">
        <v>23</v>
      </c>
      <c r="U11" s="1">
        <v>0</v>
      </c>
      <c r="V11" s="1">
        <v>1</v>
      </c>
      <c r="W11" s="1">
        <v>0</v>
      </c>
      <c r="X11" s="1">
        <v>23</v>
      </c>
      <c r="Y11" s="1">
        <v>0</v>
      </c>
      <c r="Z11" s="1">
        <v>0</v>
      </c>
      <c r="AA11" s="1">
        <v>0</v>
      </c>
      <c r="AB11" s="1">
        <v>0</v>
      </c>
      <c r="AC11" s="1"/>
      <c r="AD11" s="1">
        <v>8</v>
      </c>
      <c r="AE11" s="1"/>
      <c r="AF11" s="1"/>
      <c r="AG11" s="5">
        <f t="shared" si="0"/>
        <v>127</v>
      </c>
      <c r="AH11" s="5">
        <f>AOÛT!AH11+AG11</f>
        <v>588</v>
      </c>
    </row>
    <row r="12" spans="1:34" ht="25.35" customHeight="1">
      <c r="A12" s="2" t="s">
        <v>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5</v>
      </c>
      <c r="H12" s="1">
        <v>7</v>
      </c>
      <c r="I12" s="1">
        <v>3</v>
      </c>
      <c r="J12" s="1">
        <v>0</v>
      </c>
      <c r="K12" s="1">
        <v>6</v>
      </c>
      <c r="L12" s="1">
        <v>0</v>
      </c>
      <c r="M12" s="1">
        <v>30</v>
      </c>
      <c r="N12" s="1">
        <v>0</v>
      </c>
      <c r="O12" s="1">
        <v>0</v>
      </c>
      <c r="P12" s="1">
        <v>0</v>
      </c>
      <c r="Q12" s="1">
        <v>0</v>
      </c>
      <c r="R12" s="1">
        <v>70</v>
      </c>
      <c r="S12" s="1">
        <v>0</v>
      </c>
      <c r="T12" s="1">
        <v>32</v>
      </c>
      <c r="U12" s="1">
        <v>4</v>
      </c>
      <c r="V12" s="1">
        <v>28</v>
      </c>
      <c r="W12" s="1">
        <v>0</v>
      </c>
      <c r="X12" s="1">
        <v>32</v>
      </c>
      <c r="Y12" s="1">
        <v>0</v>
      </c>
      <c r="Z12" s="1">
        <v>0</v>
      </c>
      <c r="AA12" s="1">
        <v>0</v>
      </c>
      <c r="AB12" s="1">
        <v>5</v>
      </c>
      <c r="AC12" s="1"/>
      <c r="AD12" s="1">
        <v>22</v>
      </c>
      <c r="AE12" s="1"/>
      <c r="AF12" s="1"/>
      <c r="AG12" s="5">
        <f t="shared" si="0"/>
        <v>244</v>
      </c>
      <c r="AH12" s="5">
        <f>AOÛT!AH12+AG12</f>
        <v>999</v>
      </c>
    </row>
    <row r="13" spans="1:34" ht="25.35" customHeight="1">
      <c r="A13" s="2" t="s">
        <v>9</v>
      </c>
      <c r="B13" s="1">
        <v>0</v>
      </c>
      <c r="C13" s="1">
        <v>0</v>
      </c>
      <c r="D13" s="1">
        <v>40</v>
      </c>
      <c r="E13" s="1">
        <v>0</v>
      </c>
      <c r="F13" s="1">
        <v>2</v>
      </c>
      <c r="G13" s="1">
        <v>9</v>
      </c>
      <c r="H13" s="1">
        <v>7</v>
      </c>
      <c r="I13" s="1">
        <v>27</v>
      </c>
      <c r="J13" s="1">
        <v>0</v>
      </c>
      <c r="K13" s="1">
        <v>6</v>
      </c>
      <c r="L13" s="1">
        <v>0</v>
      </c>
      <c r="M13" s="1">
        <v>8</v>
      </c>
      <c r="N13" s="1">
        <v>0</v>
      </c>
      <c r="O13" s="1">
        <v>0</v>
      </c>
      <c r="P13" s="1">
        <v>0</v>
      </c>
      <c r="Q13" s="1">
        <v>0</v>
      </c>
      <c r="R13" s="1">
        <v>77</v>
      </c>
      <c r="S13" s="1">
        <v>0</v>
      </c>
      <c r="T13" s="1">
        <v>51</v>
      </c>
      <c r="U13" s="1">
        <v>6</v>
      </c>
      <c r="V13" s="1">
        <v>17</v>
      </c>
      <c r="W13" s="1">
        <v>0</v>
      </c>
      <c r="X13" s="1">
        <v>0</v>
      </c>
      <c r="Y13" s="1">
        <v>0</v>
      </c>
      <c r="Z13" s="1">
        <v>50</v>
      </c>
      <c r="AA13" s="1">
        <v>0</v>
      </c>
      <c r="AB13" s="1">
        <v>5</v>
      </c>
      <c r="AC13" s="1"/>
      <c r="AD13" s="1">
        <v>31</v>
      </c>
      <c r="AE13" s="1"/>
      <c r="AF13" s="1"/>
      <c r="AG13" s="5">
        <f t="shared" si="0"/>
        <v>336</v>
      </c>
      <c r="AH13" s="5">
        <f>AOÛT!AH13+AG13</f>
        <v>835</v>
      </c>
    </row>
    <row r="14" spans="1:34" ht="25.35" customHeight="1">
      <c r="A14" s="2" t="s">
        <v>15</v>
      </c>
      <c r="B14" s="1">
        <v>0</v>
      </c>
      <c r="C14" s="1">
        <v>17</v>
      </c>
      <c r="D14" s="1">
        <v>47</v>
      </c>
      <c r="E14" s="1">
        <v>0</v>
      </c>
      <c r="F14" s="1">
        <v>10</v>
      </c>
      <c r="G14" s="1">
        <v>15</v>
      </c>
      <c r="H14" s="1">
        <v>35</v>
      </c>
      <c r="I14" s="1">
        <v>3</v>
      </c>
      <c r="J14" s="1">
        <v>0</v>
      </c>
      <c r="K14" s="1">
        <v>6</v>
      </c>
      <c r="L14" s="1">
        <v>0</v>
      </c>
      <c r="M14" s="1">
        <v>22</v>
      </c>
      <c r="N14" s="1">
        <v>0</v>
      </c>
      <c r="O14" s="1">
        <v>3</v>
      </c>
      <c r="P14" s="1">
        <v>0</v>
      </c>
      <c r="Q14" s="1">
        <v>0</v>
      </c>
      <c r="R14" s="1">
        <v>30</v>
      </c>
      <c r="S14" s="1">
        <v>0</v>
      </c>
      <c r="T14" s="1">
        <v>26</v>
      </c>
      <c r="U14" s="1">
        <v>3</v>
      </c>
      <c r="V14" s="1">
        <v>27</v>
      </c>
      <c r="W14" s="1">
        <v>0</v>
      </c>
      <c r="X14" s="1">
        <v>4</v>
      </c>
      <c r="Y14" s="1">
        <v>0</v>
      </c>
      <c r="Z14" s="1">
        <v>8</v>
      </c>
      <c r="AA14" s="1">
        <v>14</v>
      </c>
      <c r="AB14" s="1">
        <v>17</v>
      </c>
      <c r="AC14" s="1"/>
      <c r="AD14" s="1">
        <v>9</v>
      </c>
      <c r="AE14" s="1"/>
      <c r="AF14" s="1"/>
      <c r="AG14" s="5">
        <f t="shared" ref="AG14" si="1">SUM(B14:AF14)</f>
        <v>296</v>
      </c>
      <c r="AH14" s="5">
        <f>AOÛT!AH14+AG14</f>
        <v>1492</v>
      </c>
    </row>
    <row r="15" spans="1:34" ht="25.35" customHeight="1">
      <c r="A15" s="2" t="s">
        <v>17</v>
      </c>
      <c r="B15" s="1">
        <v>0</v>
      </c>
      <c r="C15" s="1">
        <v>36</v>
      </c>
      <c r="D15" s="1">
        <v>0</v>
      </c>
      <c r="E15" s="1">
        <v>0</v>
      </c>
      <c r="F15" s="1">
        <v>0</v>
      </c>
      <c r="G15" s="1">
        <v>24</v>
      </c>
      <c r="H15" s="1">
        <v>35</v>
      </c>
      <c r="I15" s="1">
        <v>24</v>
      </c>
      <c r="J15" s="1">
        <v>0</v>
      </c>
      <c r="K15" s="1">
        <v>10</v>
      </c>
      <c r="L15" s="1">
        <v>0</v>
      </c>
      <c r="M15" s="1">
        <v>1</v>
      </c>
      <c r="N15" s="1">
        <v>0</v>
      </c>
      <c r="O15" s="1">
        <v>0</v>
      </c>
      <c r="P15" s="1">
        <v>55</v>
      </c>
      <c r="Q15" s="1">
        <v>22</v>
      </c>
      <c r="R15" s="1">
        <v>10</v>
      </c>
      <c r="S15" s="1">
        <v>0</v>
      </c>
      <c r="T15" s="1">
        <v>12</v>
      </c>
      <c r="U15" s="1">
        <v>8</v>
      </c>
      <c r="V15" s="1">
        <v>8</v>
      </c>
      <c r="W15" s="1">
        <v>0</v>
      </c>
      <c r="X15" s="1">
        <v>7</v>
      </c>
      <c r="Y15" s="1">
        <v>0</v>
      </c>
      <c r="Z15" s="1">
        <v>8</v>
      </c>
      <c r="AA15" s="1">
        <v>14</v>
      </c>
      <c r="AB15" s="1">
        <v>11</v>
      </c>
      <c r="AC15" s="1"/>
      <c r="AD15" s="1">
        <v>10</v>
      </c>
      <c r="AE15" s="1"/>
      <c r="AF15" s="1"/>
      <c r="AG15" s="5">
        <f t="shared" si="0"/>
        <v>295</v>
      </c>
      <c r="AH15" s="5">
        <f>AOÛT!AH15+AG15</f>
        <v>1226</v>
      </c>
    </row>
    <row r="16" spans="1:34" ht="25.35" customHeight="1">
      <c r="A16" s="2" t="s">
        <v>16</v>
      </c>
      <c r="B16" s="1">
        <v>31</v>
      </c>
      <c r="C16" s="1">
        <v>2</v>
      </c>
      <c r="D16" s="1">
        <v>64</v>
      </c>
      <c r="E16" s="1">
        <v>11</v>
      </c>
      <c r="F16" s="1">
        <v>30</v>
      </c>
      <c r="G16" s="1">
        <v>2</v>
      </c>
      <c r="H16" s="1">
        <v>8</v>
      </c>
      <c r="I16" s="1">
        <v>44</v>
      </c>
      <c r="J16" s="1">
        <v>0</v>
      </c>
      <c r="K16" s="1">
        <v>0</v>
      </c>
      <c r="L16" s="1">
        <v>0</v>
      </c>
      <c r="M16" s="1">
        <v>1</v>
      </c>
      <c r="N16" s="1">
        <v>3</v>
      </c>
      <c r="O16" s="1">
        <v>95</v>
      </c>
      <c r="P16" s="1">
        <v>9</v>
      </c>
      <c r="Q16" s="1">
        <v>38</v>
      </c>
      <c r="R16" s="1">
        <v>9</v>
      </c>
      <c r="S16" s="1">
        <v>1</v>
      </c>
      <c r="T16" s="1">
        <v>36</v>
      </c>
      <c r="U16" s="1">
        <v>0</v>
      </c>
      <c r="V16" s="1">
        <v>9</v>
      </c>
      <c r="W16" s="1">
        <v>0</v>
      </c>
      <c r="X16" s="1">
        <v>8</v>
      </c>
      <c r="Y16" s="1">
        <v>5</v>
      </c>
      <c r="Z16" s="1">
        <v>10</v>
      </c>
      <c r="AA16" s="1">
        <v>19</v>
      </c>
      <c r="AB16" s="1">
        <v>4</v>
      </c>
      <c r="AC16" s="1"/>
      <c r="AD16" s="1">
        <v>0</v>
      </c>
      <c r="AE16" s="1"/>
      <c r="AF16" s="1"/>
      <c r="AG16" s="5">
        <f t="shared" si="0"/>
        <v>439</v>
      </c>
      <c r="AH16" s="5">
        <f>AOÛT!AH16+AG16</f>
        <v>1577</v>
      </c>
    </row>
    <row r="17" spans="1:34" ht="25.35" customHeight="1">
      <c r="A17" s="2" t="s">
        <v>12</v>
      </c>
      <c r="B17" s="1">
        <v>0</v>
      </c>
      <c r="C17" s="1">
        <v>18</v>
      </c>
      <c r="D17" s="1">
        <v>0</v>
      </c>
      <c r="E17" s="1">
        <v>0</v>
      </c>
      <c r="F17" s="1">
        <v>5</v>
      </c>
      <c r="G17" s="1">
        <v>8</v>
      </c>
      <c r="H17" s="1">
        <v>15</v>
      </c>
      <c r="I17" s="1">
        <v>4</v>
      </c>
      <c r="J17" s="1">
        <v>0</v>
      </c>
      <c r="K17" s="1">
        <v>19</v>
      </c>
      <c r="L17" s="1">
        <v>0</v>
      </c>
      <c r="M17" s="1">
        <v>0</v>
      </c>
      <c r="N17" s="1">
        <v>7</v>
      </c>
      <c r="O17" s="1">
        <v>22</v>
      </c>
      <c r="P17" s="1">
        <v>6</v>
      </c>
      <c r="Q17" s="1">
        <v>0</v>
      </c>
      <c r="R17" s="1">
        <v>19</v>
      </c>
      <c r="S17" s="1">
        <v>0</v>
      </c>
      <c r="T17" s="1">
        <v>22</v>
      </c>
      <c r="U17" s="1">
        <v>6</v>
      </c>
      <c r="V17" s="1">
        <v>35</v>
      </c>
      <c r="W17" s="1">
        <v>0</v>
      </c>
      <c r="X17" s="1">
        <v>28</v>
      </c>
      <c r="Y17" s="1">
        <v>0</v>
      </c>
      <c r="Z17" s="1">
        <v>9</v>
      </c>
      <c r="AA17" s="1">
        <v>0</v>
      </c>
      <c r="AB17" s="1">
        <v>45</v>
      </c>
      <c r="AC17" s="1"/>
      <c r="AD17" s="1">
        <v>12</v>
      </c>
      <c r="AE17" s="1"/>
      <c r="AF17" s="1"/>
      <c r="AG17" s="5">
        <f t="shared" si="0"/>
        <v>280</v>
      </c>
      <c r="AH17" s="5">
        <f>AOÛT!AH17+AG17</f>
        <v>1442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A1:AH17"/>
  <sheetViews>
    <sheetView workbookViewId="0">
      <selection activeCell="AL11" sqref="AL11"/>
    </sheetView>
  </sheetViews>
  <sheetFormatPr baseColWidth="10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>
        <v>0</v>
      </c>
      <c r="D8" s="1">
        <v>0</v>
      </c>
      <c r="E8" s="1">
        <v>0</v>
      </c>
      <c r="F8" s="1">
        <v>0</v>
      </c>
      <c r="G8" s="1">
        <v>7</v>
      </c>
      <c r="H8" s="1"/>
      <c r="I8" s="1"/>
      <c r="J8" s="1">
        <v>0</v>
      </c>
      <c r="K8" s="1"/>
      <c r="L8" s="1">
        <v>1</v>
      </c>
      <c r="M8" s="1"/>
      <c r="N8" s="1"/>
      <c r="O8" s="1"/>
      <c r="P8" s="1"/>
      <c r="Q8" s="1">
        <v>0</v>
      </c>
      <c r="R8" s="1">
        <v>0</v>
      </c>
      <c r="S8" s="1"/>
      <c r="T8" s="1"/>
      <c r="U8" s="1"/>
      <c r="V8" s="1"/>
      <c r="W8" s="1"/>
      <c r="X8" s="1"/>
      <c r="Y8" s="1"/>
      <c r="Z8" s="1"/>
      <c r="AA8" s="1">
        <v>0</v>
      </c>
      <c r="AB8" s="1"/>
      <c r="AC8" s="1"/>
      <c r="AD8" s="1"/>
      <c r="AE8" s="1"/>
      <c r="AF8" s="1">
        <v>0</v>
      </c>
      <c r="AG8" s="5">
        <f>SUM(B8:AF8)</f>
        <v>8</v>
      </c>
      <c r="AH8" s="5">
        <f>SEPTEMBRE!AH8+AG8</f>
        <v>633</v>
      </c>
    </row>
    <row r="9" spans="1:34" ht="25.35" customHeight="1">
      <c r="A9" s="2" t="s">
        <v>7</v>
      </c>
      <c r="B9" s="1"/>
      <c r="C9" s="1">
        <v>0</v>
      </c>
      <c r="D9" s="1">
        <v>5</v>
      </c>
      <c r="E9" s="1">
        <v>0</v>
      </c>
      <c r="F9" s="1">
        <v>0</v>
      </c>
      <c r="G9" s="1">
        <v>0</v>
      </c>
      <c r="H9" s="1"/>
      <c r="I9" s="1"/>
      <c r="J9" s="1">
        <v>0</v>
      </c>
      <c r="K9" s="1"/>
      <c r="L9" s="1">
        <v>4</v>
      </c>
      <c r="M9" s="1"/>
      <c r="N9" s="1"/>
      <c r="O9" s="1"/>
      <c r="P9" s="1"/>
      <c r="Q9" s="1">
        <v>0</v>
      </c>
      <c r="R9" s="1">
        <v>0</v>
      </c>
      <c r="S9" s="1"/>
      <c r="T9" s="1"/>
      <c r="U9" s="1"/>
      <c r="V9" s="1"/>
      <c r="W9" s="1"/>
      <c r="X9" s="1"/>
      <c r="Y9" s="1"/>
      <c r="Z9" s="1"/>
      <c r="AA9" s="1">
        <v>0</v>
      </c>
      <c r="AB9" s="1"/>
      <c r="AC9" s="1"/>
      <c r="AD9" s="1"/>
      <c r="AE9" s="1"/>
      <c r="AF9" s="1">
        <v>0</v>
      </c>
      <c r="AG9" s="5">
        <f t="shared" ref="AG9:AG17" si="0">SUM(B9:AF9)</f>
        <v>9</v>
      </c>
      <c r="AH9" s="5">
        <f>SEPTEMBRE!AH9+AG9</f>
        <v>746</v>
      </c>
    </row>
    <row r="10" spans="1:34" ht="25.35" customHeight="1">
      <c r="A10" s="2" t="s">
        <v>8</v>
      </c>
      <c r="B10" s="1"/>
      <c r="C10" s="1">
        <v>0</v>
      </c>
      <c r="D10" s="1">
        <v>5</v>
      </c>
      <c r="E10" s="1">
        <v>0</v>
      </c>
      <c r="F10" s="1">
        <v>0</v>
      </c>
      <c r="G10" s="1">
        <v>2</v>
      </c>
      <c r="H10" s="1"/>
      <c r="I10" s="1"/>
      <c r="J10" s="1">
        <v>0</v>
      </c>
      <c r="K10" s="1"/>
      <c r="L10" s="1">
        <v>20</v>
      </c>
      <c r="M10" s="1"/>
      <c r="N10" s="1"/>
      <c r="O10" s="1"/>
      <c r="P10" s="1"/>
      <c r="Q10" s="1">
        <v>0</v>
      </c>
      <c r="R10" s="1">
        <v>0</v>
      </c>
      <c r="S10" s="1"/>
      <c r="T10" s="1"/>
      <c r="U10" s="1"/>
      <c r="V10" s="1"/>
      <c r="W10" s="1"/>
      <c r="X10" s="1"/>
      <c r="Y10" s="1"/>
      <c r="Z10" s="1"/>
      <c r="AA10" s="1">
        <v>0</v>
      </c>
      <c r="AB10" s="1"/>
      <c r="AC10" s="1"/>
      <c r="AD10" s="1"/>
      <c r="AE10" s="1"/>
      <c r="AF10" s="1">
        <v>0</v>
      </c>
      <c r="AG10" s="5">
        <f t="shared" si="0"/>
        <v>27</v>
      </c>
      <c r="AH10" s="5">
        <f>SEPTEMBRE!AH10+AG10</f>
        <v>857</v>
      </c>
    </row>
    <row r="11" spans="1:34" ht="25.35" customHeight="1">
      <c r="A11" s="2" t="s">
        <v>5</v>
      </c>
      <c r="B11" s="1"/>
      <c r="C11" s="1">
        <v>0</v>
      </c>
      <c r="D11" s="1">
        <v>3</v>
      </c>
      <c r="E11" s="1">
        <v>0</v>
      </c>
      <c r="F11" s="1">
        <v>0</v>
      </c>
      <c r="G11" s="1">
        <v>0</v>
      </c>
      <c r="H11" s="1"/>
      <c r="I11" s="1"/>
      <c r="J11" s="1">
        <v>0</v>
      </c>
      <c r="K11" s="1"/>
      <c r="L11" s="1">
        <v>1</v>
      </c>
      <c r="M11" s="1"/>
      <c r="N11" s="1"/>
      <c r="O11" s="1"/>
      <c r="P11" s="1"/>
      <c r="Q11" s="1">
        <v>0</v>
      </c>
      <c r="R11" s="1">
        <v>0</v>
      </c>
      <c r="S11" s="1"/>
      <c r="T11" s="1"/>
      <c r="U11" s="1"/>
      <c r="V11" s="1"/>
      <c r="W11" s="1"/>
      <c r="X11" s="1"/>
      <c r="Y11" s="1"/>
      <c r="Z11" s="1"/>
      <c r="AA11" s="1">
        <v>0</v>
      </c>
      <c r="AB11" s="1"/>
      <c r="AC11" s="1"/>
      <c r="AD11" s="1"/>
      <c r="AE11" s="1"/>
      <c r="AF11" s="1">
        <v>0</v>
      </c>
      <c r="AG11" s="5">
        <f t="shared" si="0"/>
        <v>4</v>
      </c>
      <c r="AH11" s="5">
        <f>SEPTEMBRE!AH11+AG11</f>
        <v>592</v>
      </c>
    </row>
    <row r="12" spans="1:34" ht="25.35" customHeight="1">
      <c r="A12" s="2" t="s">
        <v>4</v>
      </c>
      <c r="B12" s="1"/>
      <c r="C12" s="1">
        <v>0</v>
      </c>
      <c r="D12" s="1">
        <v>14</v>
      </c>
      <c r="E12" s="1">
        <v>0</v>
      </c>
      <c r="F12" s="1">
        <v>0</v>
      </c>
      <c r="G12" s="1">
        <v>0</v>
      </c>
      <c r="H12" s="1"/>
      <c r="I12" s="1"/>
      <c r="J12" s="1">
        <v>0</v>
      </c>
      <c r="K12" s="1"/>
      <c r="L12" s="1">
        <v>1</v>
      </c>
      <c r="M12" s="1"/>
      <c r="N12" s="1"/>
      <c r="O12" s="1"/>
      <c r="P12" s="1"/>
      <c r="Q12" s="1">
        <v>0</v>
      </c>
      <c r="R12" s="1">
        <v>0</v>
      </c>
      <c r="S12" s="1"/>
      <c r="T12" s="1"/>
      <c r="U12" s="1"/>
      <c r="V12" s="1"/>
      <c r="W12" s="1"/>
      <c r="X12" s="1"/>
      <c r="Y12" s="1"/>
      <c r="Z12" s="1"/>
      <c r="AA12" s="1">
        <v>0</v>
      </c>
      <c r="AB12" s="1"/>
      <c r="AC12" s="1"/>
      <c r="AD12" s="1"/>
      <c r="AE12" s="1"/>
      <c r="AF12" s="1">
        <v>0</v>
      </c>
      <c r="AG12" s="5">
        <f t="shared" si="0"/>
        <v>15</v>
      </c>
      <c r="AH12" s="5">
        <f>SEPTEMBRE!AH12+AG12</f>
        <v>1014</v>
      </c>
    </row>
    <row r="13" spans="1:34" ht="25.35" customHeight="1">
      <c r="A13" s="2" t="s">
        <v>9</v>
      </c>
      <c r="B13" s="1"/>
      <c r="C13" s="1">
        <v>0</v>
      </c>
      <c r="D13" s="1">
        <v>18</v>
      </c>
      <c r="E13" s="1">
        <v>0</v>
      </c>
      <c r="F13" s="1">
        <v>0</v>
      </c>
      <c r="G13" s="1">
        <v>0</v>
      </c>
      <c r="H13" s="1"/>
      <c r="I13" s="1"/>
      <c r="J13" s="1">
        <v>0</v>
      </c>
      <c r="K13" s="1"/>
      <c r="L13" s="1">
        <v>3</v>
      </c>
      <c r="M13" s="1"/>
      <c r="N13" s="1"/>
      <c r="O13" s="1"/>
      <c r="P13" s="1"/>
      <c r="Q13" s="1">
        <v>0</v>
      </c>
      <c r="R13" s="1">
        <v>0</v>
      </c>
      <c r="S13" s="1"/>
      <c r="T13" s="1"/>
      <c r="U13" s="1"/>
      <c r="V13" s="1"/>
      <c r="W13" s="1"/>
      <c r="X13" s="1"/>
      <c r="Y13" s="1"/>
      <c r="Z13" s="1"/>
      <c r="AA13" s="1">
        <v>0</v>
      </c>
      <c r="AB13" s="1"/>
      <c r="AC13" s="1"/>
      <c r="AD13" s="1"/>
      <c r="AE13" s="1"/>
      <c r="AF13" s="1">
        <v>0</v>
      </c>
      <c r="AG13" s="5">
        <f t="shared" si="0"/>
        <v>21</v>
      </c>
      <c r="AH13" s="5">
        <f>SEPTEMBRE!AH13+AG13</f>
        <v>856</v>
      </c>
    </row>
    <row r="14" spans="1:34" ht="25.35" customHeight="1">
      <c r="A14" s="2" t="s">
        <v>15</v>
      </c>
      <c r="B14" s="1"/>
      <c r="C14" s="1">
        <v>0</v>
      </c>
      <c r="D14" s="1">
        <v>19</v>
      </c>
      <c r="E14" s="1">
        <v>0</v>
      </c>
      <c r="F14" s="1">
        <v>7</v>
      </c>
      <c r="G14" s="1">
        <v>0</v>
      </c>
      <c r="H14" s="1"/>
      <c r="I14" s="1"/>
      <c r="J14" s="1">
        <v>0</v>
      </c>
      <c r="K14" s="1"/>
      <c r="L14" s="1">
        <v>48</v>
      </c>
      <c r="M14" s="1"/>
      <c r="N14" s="1"/>
      <c r="O14" s="1"/>
      <c r="P14" s="1"/>
      <c r="Q14" s="1">
        <v>0</v>
      </c>
      <c r="R14" s="1">
        <v>0</v>
      </c>
      <c r="S14" s="1"/>
      <c r="T14" s="1"/>
      <c r="U14" s="1"/>
      <c r="V14" s="1"/>
      <c r="W14" s="1"/>
      <c r="X14" s="1"/>
      <c r="Y14" s="1"/>
      <c r="Z14" s="1"/>
      <c r="AA14" s="1">
        <v>0</v>
      </c>
      <c r="AB14" s="1"/>
      <c r="AC14" s="1"/>
      <c r="AD14" s="1"/>
      <c r="AE14" s="1"/>
      <c r="AF14" s="1">
        <v>0</v>
      </c>
      <c r="AG14" s="5">
        <f t="shared" ref="AG14" si="1">SUM(B14:AF14)</f>
        <v>74</v>
      </c>
      <c r="AH14" s="5">
        <f>SEPTEMBRE!AH14+AG14</f>
        <v>1566</v>
      </c>
    </row>
    <row r="15" spans="1:34" ht="25.35" customHeight="1">
      <c r="A15" s="2" t="s">
        <v>17</v>
      </c>
      <c r="B15" s="1"/>
      <c r="C15" s="1">
        <v>0</v>
      </c>
      <c r="D15" s="1">
        <v>9</v>
      </c>
      <c r="E15" s="1">
        <v>8</v>
      </c>
      <c r="F15" s="1">
        <v>8</v>
      </c>
      <c r="G15" s="1">
        <v>0</v>
      </c>
      <c r="H15" s="1"/>
      <c r="I15" s="1"/>
      <c r="J15" s="1">
        <v>0</v>
      </c>
      <c r="K15" s="1"/>
      <c r="L15" s="1">
        <v>4</v>
      </c>
      <c r="M15" s="1"/>
      <c r="N15" s="1"/>
      <c r="O15" s="1"/>
      <c r="P15" s="1"/>
      <c r="Q15" s="1">
        <v>0</v>
      </c>
      <c r="R15" s="1">
        <v>1</v>
      </c>
      <c r="S15" s="1"/>
      <c r="T15" s="1"/>
      <c r="U15" s="1"/>
      <c r="V15" s="1"/>
      <c r="W15" s="1"/>
      <c r="X15" s="1"/>
      <c r="Y15" s="1"/>
      <c r="Z15" s="1"/>
      <c r="AA15" s="1">
        <v>0</v>
      </c>
      <c r="AB15" s="1"/>
      <c r="AC15" s="1"/>
      <c r="AD15" s="1"/>
      <c r="AE15" s="1"/>
      <c r="AF15" s="1">
        <v>0</v>
      </c>
      <c r="AG15" s="5">
        <f t="shared" si="0"/>
        <v>30</v>
      </c>
      <c r="AH15" s="5">
        <f>SEPTEMBRE!AH15+AG15</f>
        <v>1256</v>
      </c>
    </row>
    <row r="16" spans="1:34" ht="25.35" customHeight="1">
      <c r="A16" s="2" t="s">
        <v>16</v>
      </c>
      <c r="B16" s="1"/>
      <c r="C16" s="1">
        <v>24</v>
      </c>
      <c r="D16" s="1">
        <v>1</v>
      </c>
      <c r="E16" s="1">
        <v>1</v>
      </c>
      <c r="F16" s="1">
        <v>4</v>
      </c>
      <c r="G16" s="1">
        <v>0</v>
      </c>
      <c r="H16" s="1"/>
      <c r="I16" s="1"/>
      <c r="J16" s="1">
        <v>13</v>
      </c>
      <c r="K16" s="1"/>
      <c r="L16" s="1">
        <v>2</v>
      </c>
      <c r="M16" s="1"/>
      <c r="N16" s="1"/>
      <c r="O16" s="1"/>
      <c r="P16" s="1"/>
      <c r="Q16" s="1">
        <v>3</v>
      </c>
      <c r="R16" s="1">
        <v>21</v>
      </c>
      <c r="S16" s="1"/>
      <c r="T16" s="1"/>
      <c r="U16" s="1"/>
      <c r="V16" s="1"/>
      <c r="W16" s="1"/>
      <c r="X16" s="1"/>
      <c r="Y16" s="1"/>
      <c r="Z16" s="1"/>
      <c r="AA16" s="1">
        <v>2</v>
      </c>
      <c r="AB16" s="1"/>
      <c r="AC16" s="1"/>
      <c r="AD16" s="1"/>
      <c r="AE16" s="1"/>
      <c r="AF16" s="1">
        <v>1</v>
      </c>
      <c r="AG16" s="5">
        <f t="shared" si="0"/>
        <v>72</v>
      </c>
      <c r="AH16" s="5">
        <f>SEPTEMBRE!AH16+AG16</f>
        <v>1649</v>
      </c>
    </row>
    <row r="17" spans="1:34" ht="25.35" customHeight="1">
      <c r="A17" s="2" t="s">
        <v>12</v>
      </c>
      <c r="B17" s="1"/>
      <c r="C17" s="1">
        <v>0</v>
      </c>
      <c r="D17" s="1">
        <v>19</v>
      </c>
      <c r="E17" s="1">
        <v>0</v>
      </c>
      <c r="F17" s="1">
        <v>12</v>
      </c>
      <c r="G17" s="1">
        <v>0</v>
      </c>
      <c r="H17" s="1"/>
      <c r="I17" s="1"/>
      <c r="J17" s="1">
        <v>5</v>
      </c>
      <c r="K17" s="1"/>
      <c r="L17" s="1">
        <v>0</v>
      </c>
      <c r="M17" s="1"/>
      <c r="N17" s="1"/>
      <c r="O17" s="1"/>
      <c r="P17" s="1"/>
      <c r="Q17" s="1">
        <v>15</v>
      </c>
      <c r="R17" s="1">
        <v>0</v>
      </c>
      <c r="S17" s="1"/>
      <c r="T17" s="1"/>
      <c r="U17" s="1"/>
      <c r="V17" s="1"/>
      <c r="W17" s="1"/>
      <c r="X17" s="1"/>
      <c r="Y17" s="1"/>
      <c r="Z17" s="1"/>
      <c r="AA17" s="1">
        <v>0</v>
      </c>
      <c r="AB17" s="1"/>
      <c r="AC17" s="1"/>
      <c r="AD17" s="1"/>
      <c r="AE17" s="1"/>
      <c r="AF17" s="1">
        <v>0</v>
      </c>
      <c r="AG17" s="5">
        <f t="shared" si="0"/>
        <v>51</v>
      </c>
      <c r="AH17" s="5">
        <f>SEPTEMBRE!AH17+AG17</f>
        <v>1493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7"/>
  <sheetViews>
    <sheetView topLeftCell="A2" workbookViewId="0">
      <selection activeCell="AK13" sqref="AK13"/>
    </sheetView>
  </sheetViews>
  <sheetFormatPr baseColWidth="10" defaultRowHeight="15"/>
  <cols>
    <col min="1" max="1" width="12" customWidth="1"/>
    <col min="2" max="32" width="3.7109375" customWidth="1"/>
    <col min="33" max="33" width="5.7109375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OCTOBRE!AH8+AG8</f>
        <v>633</v>
      </c>
    </row>
    <row r="9" spans="1:34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0</v>
      </c>
      <c r="AH9" s="5">
        <f>OCTOBRE!AH9+AG9</f>
        <v>746</v>
      </c>
    </row>
    <row r="10" spans="1:34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>OCTOBRE!AH10+AG10</f>
        <v>857</v>
      </c>
    </row>
    <row r="11" spans="1:34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5">
        <f t="shared" si="0"/>
        <v>0</v>
      </c>
      <c r="AH11" s="5">
        <f>OCTOBRE!AH11+AG11</f>
        <v>592</v>
      </c>
    </row>
    <row r="12" spans="1:34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5">
        <f t="shared" si="0"/>
        <v>0</v>
      </c>
      <c r="AH12" s="5">
        <f>OCTOBRE!AH12+AG12</f>
        <v>1014</v>
      </c>
    </row>
    <row r="13" spans="1:34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5">
        <f t="shared" si="0"/>
        <v>0</v>
      </c>
      <c r="AH13" s="5">
        <f>OCTOBRE!AH13+AG13</f>
        <v>856</v>
      </c>
    </row>
    <row r="14" spans="1:34" ht="25.3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5">
        <f t="shared" ref="AG14" si="1">SUM(B14:AF14)</f>
        <v>0</v>
      </c>
      <c r="AH14" s="5">
        <f>OCTOBRE!AH14+AG14</f>
        <v>1566</v>
      </c>
    </row>
    <row r="15" spans="1:34" ht="25.3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0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5">
        <f t="shared" si="0"/>
        <v>0</v>
      </c>
      <c r="AH15" s="5">
        <f>OCTOBRE!AH15+AG15</f>
        <v>1256</v>
      </c>
    </row>
    <row r="16" spans="1:34" ht="25.3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5">
        <f t="shared" si="0"/>
        <v>0</v>
      </c>
      <c r="AH16" s="5">
        <f>OCTOBRE!AH16+AG16</f>
        <v>1649</v>
      </c>
    </row>
    <row r="17" spans="1:34" ht="25.35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14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">
        <f t="shared" si="0"/>
        <v>14</v>
      </c>
      <c r="AH17" s="5">
        <f>OCTOBRE!AH17+AG17</f>
        <v>1507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IMPRIME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AOÛT!Zone_d_impression</vt:lpstr>
      <vt:lpstr>AVRIL!Zone_d_impression</vt:lpstr>
      <vt:lpstr>IMPRIME!Zone_d_impression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2021-12-09T09:45:59Z</dcterms:modified>
</cp:coreProperties>
</file>