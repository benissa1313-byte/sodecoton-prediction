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965" firstSheet="1" activeTab="2"/>
  </bookViews>
  <sheets>
    <sheet name="IMPRIME" sheetId="1" state="hidden" r:id="rId1"/>
    <sheet name="FEVRIER" sheetId="13" r:id="rId2"/>
    <sheet name="MARS" sheetId="14" r:id="rId3"/>
    <sheet name="AVRIL" sheetId="4" r:id="rId4"/>
    <sheet name="MAI" sheetId="6" r:id="rId5"/>
    <sheet name="JUIN" sheetId="7" r:id="rId6"/>
    <sheet name="JUILLET" sheetId="8" r:id="rId7"/>
    <sheet name="AOÛT" sheetId="9" r:id="rId8"/>
    <sheet name="SEPTEMBRE" sheetId="10" r:id="rId9"/>
    <sheet name="OCTOBRE" sheetId="11" r:id="rId10"/>
    <sheet name="NOVEMBRE" sheetId="12" r:id="rId11"/>
    <sheet name="Feuille12" sheetId="15" r:id="rId12"/>
    <sheet name="Feuille13" sheetId="16" r:id="rId13"/>
  </sheets>
  <definedNames>
    <definedName name="_xlnm.Print_Area" localSheetId="7">AOÛT!$A$1:$AH$17</definedName>
    <definedName name="_xlnm.Print_Area" localSheetId="3">AVRIL!$A$1:$AH$17</definedName>
    <definedName name="_xlnm.Print_Area" localSheetId="1">FEVRIER!$A$1:$AH$17</definedName>
    <definedName name="_xlnm.Print_Area" localSheetId="0">IMPRIME!$A$1:$AG$16</definedName>
    <definedName name="_xlnm.Print_Area" localSheetId="6">JUILLET!$A$1:$AH$17</definedName>
    <definedName name="_xlnm.Print_Area" localSheetId="5">JUIN!$A$1:$AH$17</definedName>
    <definedName name="_xlnm.Print_Area" localSheetId="4">MAI!$A$1:$AH$17</definedName>
    <definedName name="_xlnm.Print_Area" localSheetId="2">MARS!$A$1:$AH$17</definedName>
    <definedName name="_xlnm.Print_Area" localSheetId="10">NOVEMBRE!$A$1:$AH$17</definedName>
    <definedName name="_xlnm.Print_Area" localSheetId="9">OCTOBRE!$A$1:$AH$17</definedName>
    <definedName name="_xlnm.Print_Area" localSheetId="8">SEPTEMBRE!$A$1:$AH$17</definedName>
  </definedNames>
  <calcPr calcId="144525"/>
</workbook>
</file>

<file path=xl/sharedStrings.xml><?xml version="1.0" encoding="utf-8"?>
<sst xmlns="http://schemas.openxmlformats.org/spreadsheetml/2006/main" count="173" uniqueCount="27">
  <si>
    <t>SODECOTON</t>
  </si>
  <si>
    <t>PLUVIOMETRIE JOURNALIERE ET MENSUELLE</t>
  </si>
  <si>
    <r>
      <rPr>
        <b/>
        <sz val="12"/>
        <color theme="1"/>
        <rFont val="Calibri"/>
        <charset val="134"/>
        <scheme val="minor"/>
      </rPr>
      <t>MOIS DE</t>
    </r>
    <r>
      <rPr>
        <b/>
        <sz val="11"/>
        <color theme="1"/>
        <rFont val="Calibri"/>
        <charset val="134"/>
        <scheme val="minor"/>
      </rPr>
      <t xml:space="preserve"> </t>
    </r>
    <r>
      <rPr>
        <sz val="11"/>
        <color theme="1"/>
        <rFont val="Calibri"/>
        <charset val="134"/>
        <scheme val="minor"/>
      </rPr>
      <t>:_________________________________________</t>
    </r>
  </si>
  <si>
    <t>STATION</t>
  </si>
  <si>
    <t>TOTAUX</t>
  </si>
  <si>
    <t>MAROUA</t>
  </si>
  <si>
    <t>KAELE</t>
  </si>
  <si>
    <t>TCHATIBALI</t>
  </si>
  <si>
    <t>GUIDER</t>
  </si>
  <si>
    <t>GAROUA</t>
  </si>
  <si>
    <t>NGONG</t>
  </si>
  <si>
    <t>MAYO-GALKE</t>
  </si>
  <si>
    <t>TOUBOURO</t>
  </si>
  <si>
    <t>HOME</t>
  </si>
  <si>
    <t>MOIS DE FEVRIER 2021</t>
  </si>
  <si>
    <t>CUMUL</t>
  </si>
  <si>
    <t>POLI</t>
  </si>
  <si>
    <t>M-GALKE</t>
  </si>
  <si>
    <t>TOUBORO</t>
  </si>
  <si>
    <t>MOIS DE MARS 2021</t>
  </si>
  <si>
    <t>MOIS D'AVRIL 2021</t>
  </si>
  <si>
    <t>MOIS DE MAI 2021</t>
  </si>
  <si>
    <t>MOIS DE JUILLET 2021</t>
  </si>
  <si>
    <t>MOIS D'AOÛT 2021</t>
  </si>
  <si>
    <t>MOIS DE SEPTEMBRE 2021</t>
  </si>
  <si>
    <t>MOIS D'OCTOBRE 2021</t>
  </si>
  <si>
    <t>MOIS DE NOVEMBRE 2021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</si>
</sst>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  <numFmt numFmtId="41" formatCode="_-* #,##0_-;\-* #,##0_-;_-* &quot;-&quot;_-;_-@_-"/>
  </numFmts>
  <fonts count="29">
    <font>
      <sz val="11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u/>
      <sz val="13"/>
      <color theme="1"/>
      <name val="Berlin Sans FB Demi"/>
      <charset val="134"/>
    </font>
    <font>
      <b/>
      <u/>
      <sz val="12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b/>
      <sz val="11"/>
      <color theme="1"/>
      <name val="AdelonSerial"/>
      <charset val="134"/>
    </font>
    <font>
      <b/>
      <sz val="11"/>
      <color theme="1"/>
      <name val="Calibri"/>
      <charset val="134"/>
      <scheme val="minor"/>
    </font>
    <font>
      <b/>
      <sz val="9"/>
      <color theme="1"/>
      <name val="AdelonSerial"/>
      <charset val="134"/>
    </font>
    <font>
      <sz val="10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2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13" fillId="0" borderId="0" applyNumberForma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10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26" fillId="22" borderId="4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5" fillId="10" borderId="9" applyNumberFormat="0" applyAlignment="0" applyProtection="0">
      <alignment vertical="center"/>
    </xf>
    <xf numFmtId="0" fontId="27" fillId="23" borderId="10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0" fillId="0" borderId="1" xfId="0" applyBorder="1"/>
    <xf numFmtId="0" fontId="7" fillId="0" borderId="1" xfId="0" applyFont="1" applyBorder="1" applyAlignment="1">
      <alignment horizontal="center"/>
    </xf>
    <xf numFmtId="3" fontId="0" fillId="0" borderId="1" xfId="0" applyNumberFormat="1" applyBorder="1"/>
    <xf numFmtId="0" fontId="0" fillId="0" borderId="2" xfId="0" applyFill="1" applyBorder="1"/>
    <xf numFmtId="3" fontId="0" fillId="0" borderId="2" xfId="0" applyNumberFormat="1" applyFill="1" applyBorder="1"/>
    <xf numFmtId="0" fontId="8" fillId="0" borderId="1" xfId="0" applyFont="1" applyBorder="1"/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/>
    </xf>
  </cellXfs>
  <cellStyles count="49">
    <cellStyle name="Normal" xfId="0" builtinId="0"/>
    <cellStyle name="Lien hypertexte visité" xfId="1" builtinId="9"/>
    <cellStyle name="Virgule" xfId="2" builtinId="3"/>
    <cellStyle name="60 % - Accent6" xfId="3" builtinId="52"/>
    <cellStyle name="Calcul" xfId="4" builtinId="22"/>
    <cellStyle name="Titre" xfId="5" builtinId="15"/>
    <cellStyle name="Monétaire [0]" xfId="6" builtinId="7"/>
    <cellStyle name="Monétaire" xfId="7" builtinId="4"/>
    <cellStyle name="Milliers [0]" xfId="8" builtinId="6"/>
    <cellStyle name="Cellule liée" xfId="9" builtinId="24"/>
    <cellStyle name="Pourcentage" xfId="10" builtinId="5"/>
    <cellStyle name="Lien hypertexte" xfId="11" builtinId="8"/>
    <cellStyle name="Note" xfId="12" builtinId="10"/>
    <cellStyle name="Avertissement" xfId="13" builtinId="11"/>
    <cellStyle name="CTexte explicatif" xfId="14" builtinId="53"/>
    <cellStyle name="Titre 1" xfId="15" builtinId="16"/>
    <cellStyle name="Titre 2" xfId="16" builtinId="17"/>
    <cellStyle name="Accent1" xfId="17" builtinId="29"/>
    <cellStyle name="Titre 3" xfId="18" builtinId="18"/>
    <cellStyle name="Accent2" xfId="19" builtinId="33"/>
    <cellStyle name="Titre 4" xfId="20" builtinId="19"/>
    <cellStyle name="Neutre" xfId="21" builtinId="28"/>
    <cellStyle name="Entrée" xfId="22" builtinId="20"/>
    <cellStyle name="40 % - Accent2" xfId="23" builtinId="35"/>
    <cellStyle name="Sortie" xfId="24" builtinId="21"/>
    <cellStyle name="Vérification de cellule" xfId="25" builtinId="23"/>
    <cellStyle name="Total" xfId="26" builtinId="25"/>
    <cellStyle name="Accent4" xfId="27" builtinId="41"/>
    <cellStyle name="Satisfaisant" xfId="28" builtinId="26"/>
    <cellStyle name="Insatisfaisant" xfId="29" builtinId="27"/>
    <cellStyle name="20 % - Accent1" xfId="30" builtinId="30"/>
    <cellStyle name="40 % - Accent1" xfId="31" builtinId="31"/>
    <cellStyle name="60 % - Accent1" xfId="32" builtinId="32"/>
    <cellStyle name="20 % - Accent2" xfId="33" builtinId="34"/>
    <cellStyle name="60 % - Accent2" xfId="34" builtinId="36"/>
    <cellStyle name="Accent3" xfId="35" builtinId="37"/>
    <cellStyle name="20 % - Accent3" xfId="36" builtinId="38"/>
    <cellStyle name="40 % - Accent3" xfId="37" builtinId="39"/>
    <cellStyle name="60 % - Accent3" xfId="38" builtinId="40"/>
    <cellStyle name="20 % - Accent4" xfId="39" builtinId="42"/>
    <cellStyle name="40 % - Accent4" xfId="40" builtinId="43"/>
    <cellStyle name="60 % - Accent4" xfId="41" builtinId="44"/>
    <cellStyle name="Accent5" xfId="42" builtinId="45"/>
    <cellStyle name="20 % - Accent5" xfId="43" builtinId="46"/>
    <cellStyle name="40 % - Accent5" xfId="44" builtinId="47"/>
    <cellStyle name="60 % - Accent5" xfId="45" builtinId="48"/>
    <cellStyle name="Accent6" xfId="46" builtinId="49"/>
    <cellStyle name="20 % - Accent6" xfId="47" builtinId="50"/>
    <cellStyle name="40 % - Accent6" xfId="48" builtinId="5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6"/>
  <sheetViews>
    <sheetView workbookViewId="0">
      <selection activeCell="A14" sqref="A14"/>
    </sheetView>
  </sheetViews>
  <sheetFormatPr defaultColWidth="11" defaultRowHeight="15"/>
  <cols>
    <col min="1" max="1" width="12" customWidth="1"/>
    <col min="2" max="32" width="3.71428571428571" customWidth="1"/>
    <col min="33" max="33" width="8.85714285714286" customWidth="1"/>
  </cols>
  <sheetData>
    <row r="1" ht="17.25" spans="1:1">
      <c r="A1" s="1" t="s">
        <v>0</v>
      </c>
    </row>
    <row r="3" ht="15.75" spans="1:33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5" ht="15.75" spans="1:33">
      <c r="A5" s="14" t="s">
        <v>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</row>
    <row r="7" spans="1:33">
      <c r="A7" s="7" t="s">
        <v>3</v>
      </c>
      <c r="B7" s="15">
        <v>1</v>
      </c>
      <c r="C7" s="15">
        <v>2</v>
      </c>
      <c r="D7" s="15">
        <v>3</v>
      </c>
      <c r="E7" s="15">
        <v>4</v>
      </c>
      <c r="F7" s="15">
        <v>5</v>
      </c>
      <c r="G7" s="15">
        <v>6</v>
      </c>
      <c r="H7" s="15">
        <v>7</v>
      </c>
      <c r="I7" s="15">
        <v>8</v>
      </c>
      <c r="J7" s="15">
        <v>9</v>
      </c>
      <c r="K7" s="15">
        <v>10</v>
      </c>
      <c r="L7" s="15">
        <v>11</v>
      </c>
      <c r="M7" s="15">
        <v>12</v>
      </c>
      <c r="N7" s="15">
        <v>13</v>
      </c>
      <c r="O7" s="15">
        <v>14</v>
      </c>
      <c r="P7" s="15">
        <v>15</v>
      </c>
      <c r="Q7" s="15">
        <v>16</v>
      </c>
      <c r="R7" s="15">
        <v>17</v>
      </c>
      <c r="S7" s="15">
        <v>18</v>
      </c>
      <c r="T7" s="15">
        <v>19</v>
      </c>
      <c r="U7" s="15">
        <v>20</v>
      </c>
      <c r="V7" s="15">
        <v>21</v>
      </c>
      <c r="W7" s="15">
        <v>22</v>
      </c>
      <c r="X7" s="15">
        <v>23</v>
      </c>
      <c r="Y7" s="15">
        <v>24</v>
      </c>
      <c r="Z7" s="15">
        <v>25</v>
      </c>
      <c r="AA7" s="15">
        <v>26</v>
      </c>
      <c r="AB7" s="15">
        <v>27</v>
      </c>
      <c r="AC7" s="15">
        <v>28</v>
      </c>
      <c r="AD7" s="15">
        <v>29</v>
      </c>
      <c r="AE7" s="15">
        <v>30</v>
      </c>
      <c r="AF7" s="15">
        <v>31</v>
      </c>
      <c r="AG7" s="15" t="s">
        <v>4</v>
      </c>
    </row>
    <row r="8" ht="25.35" customHeight="1" spans="1:33">
      <c r="A8" s="7" t="s">
        <v>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ht="25.35" customHeight="1" spans="1:33">
      <c r="A9" s="7" t="s">
        <v>6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ht="25.35" customHeight="1" spans="1:33">
      <c r="A10" s="7" t="s">
        <v>7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 ht="25.35" customHeight="1" spans="1:33">
      <c r="A11" s="7" t="s">
        <v>8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 ht="25.35" customHeight="1" spans="1:33">
      <c r="A12" s="7" t="s">
        <v>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</row>
    <row r="13" ht="25.35" customHeight="1" spans="1:33">
      <c r="A13" s="7" t="s">
        <v>10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 ht="25.35" customHeight="1" spans="1:33">
      <c r="A14" s="7" t="s">
        <v>11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ht="25.35" customHeight="1" spans="1:33">
      <c r="A15" s="7" t="s">
        <v>12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 ht="25.35" customHeight="1" spans="1:33">
      <c r="A16" s="7" t="s">
        <v>13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</sheetData>
  <mergeCells count="2">
    <mergeCell ref="A3:AG3"/>
    <mergeCell ref="A5:AG5"/>
  </mergeCells>
  <pageMargins left="0.511811023622047" right="0.511811023622047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AH17"/>
  <sheetViews>
    <sheetView topLeftCell="A3" workbookViewId="0">
      <selection activeCell="A5" sqref="A5:AH5"/>
    </sheetView>
  </sheetViews>
  <sheetFormatPr defaultColWidth="11" defaultRowHeight="15"/>
  <cols>
    <col min="1" max="1" width="12" customWidth="1"/>
    <col min="2" max="2" width="3.42857142857143" customWidth="1"/>
    <col min="3" max="3" width="3" customWidth="1"/>
    <col min="4" max="5" width="3.71428571428571" customWidth="1"/>
    <col min="6" max="6" width="3" customWidth="1"/>
    <col min="7" max="7" width="3.71428571428571" customWidth="1"/>
    <col min="8" max="8" width="2.85714285714286" customWidth="1"/>
    <col min="9" max="9" width="3.42857142857143" customWidth="1"/>
    <col min="10" max="10" width="3" customWidth="1"/>
    <col min="11" max="11" width="3.42857142857143" customWidth="1"/>
    <col min="12" max="12" width="3.71428571428571" customWidth="1"/>
    <col min="13" max="13" width="3.28571428571429" customWidth="1"/>
    <col min="14" max="14" width="3.71428571428571" customWidth="1"/>
    <col min="15" max="15" width="3.14285714285714" customWidth="1"/>
    <col min="16" max="16" width="3.71428571428571" customWidth="1"/>
    <col min="17" max="17" width="3.14285714285714" customWidth="1"/>
    <col min="18" max="18" width="3.42857142857143" customWidth="1"/>
    <col min="19" max="19" width="3.57142857142857" customWidth="1"/>
    <col min="20" max="20" width="3.28571428571429" customWidth="1"/>
    <col min="21" max="21" width="3.14285714285714" customWidth="1"/>
    <col min="22" max="23" width="3.42857142857143" customWidth="1"/>
    <col min="24" max="24" width="3.71428571428571" customWidth="1"/>
    <col min="25" max="25" width="3.42857142857143" customWidth="1"/>
    <col min="26" max="27" width="3.71428571428571" customWidth="1"/>
    <col min="28" max="30" width="3.28571428571429" customWidth="1"/>
    <col min="31" max="31" width="3.42857142857143" customWidth="1"/>
    <col min="32" max="32" width="3.28571428571429" customWidth="1"/>
    <col min="33" max="33" width="7.28571428571429" customWidth="1"/>
    <col min="34" max="34" width="7" customWidth="1"/>
  </cols>
  <sheetData>
    <row r="1" ht="17.25" spans="1:1">
      <c r="A1" s="1" t="s">
        <v>0</v>
      </c>
    </row>
    <row r="3" ht="15.75" spans="1:34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5" ht="15.75" spans="1:34">
      <c r="A5" s="3" t="s">
        <v>14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7" spans="1:34">
      <c r="A7" s="5" t="s">
        <v>3</v>
      </c>
      <c r="B7" s="6">
        <v>1</v>
      </c>
      <c r="C7" s="6">
        <v>2</v>
      </c>
      <c r="D7" s="6">
        <v>3</v>
      </c>
      <c r="E7" s="6">
        <v>4</v>
      </c>
      <c r="F7" s="6">
        <v>5</v>
      </c>
      <c r="G7" s="6">
        <v>6</v>
      </c>
      <c r="H7" s="6">
        <v>7</v>
      </c>
      <c r="I7" s="6">
        <v>8</v>
      </c>
      <c r="J7" s="6">
        <v>9</v>
      </c>
      <c r="K7" s="6">
        <v>10</v>
      </c>
      <c r="L7" s="6">
        <v>11</v>
      </c>
      <c r="M7" s="6">
        <v>12</v>
      </c>
      <c r="N7" s="6">
        <v>13</v>
      </c>
      <c r="O7" s="6">
        <v>14</v>
      </c>
      <c r="P7" s="6">
        <v>15</v>
      </c>
      <c r="Q7" s="6">
        <v>16</v>
      </c>
      <c r="R7" s="6">
        <v>17</v>
      </c>
      <c r="S7" s="6">
        <v>18</v>
      </c>
      <c r="T7" s="6">
        <v>19</v>
      </c>
      <c r="U7" s="6">
        <v>20</v>
      </c>
      <c r="V7" s="6">
        <v>21</v>
      </c>
      <c r="W7" s="6">
        <v>22</v>
      </c>
      <c r="X7" s="6">
        <v>23</v>
      </c>
      <c r="Y7" s="6">
        <v>24</v>
      </c>
      <c r="Z7" s="6">
        <v>25</v>
      </c>
      <c r="AA7" s="6">
        <v>26</v>
      </c>
      <c r="AB7" s="6">
        <v>27</v>
      </c>
      <c r="AC7" s="6">
        <v>28</v>
      </c>
      <c r="AD7" s="6">
        <v>29</v>
      </c>
      <c r="AE7" s="6">
        <v>30</v>
      </c>
      <c r="AF7" s="6">
        <v>31</v>
      </c>
      <c r="AG7" s="9" t="s">
        <v>4</v>
      </c>
      <c r="AH7" s="9" t="s">
        <v>15</v>
      </c>
    </row>
    <row r="8" ht="25.35" customHeight="1" spans="1:34">
      <c r="A8" s="7" t="s">
        <v>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10">
        <f>SUM(B8:AF8)</f>
        <v>0</v>
      </c>
      <c r="AH8" s="10">
        <f>AG8</f>
        <v>0</v>
      </c>
    </row>
    <row r="9" ht="25.35" customHeight="1" spans="1:34">
      <c r="A9" s="7" t="s">
        <v>6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10">
        <f t="shared" ref="AG9:AG17" si="0">SUM(B9:AF9)</f>
        <v>0</v>
      </c>
      <c r="AH9" s="10">
        <f t="shared" ref="AH9:AH17" si="1">AG9</f>
        <v>0</v>
      </c>
    </row>
    <row r="10" ht="25.35" customHeight="1" spans="1:34">
      <c r="A10" s="7" t="s">
        <v>7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10">
        <f t="shared" si="0"/>
        <v>0</v>
      </c>
      <c r="AH10" s="10">
        <f t="shared" si="1"/>
        <v>0</v>
      </c>
    </row>
    <row r="11" ht="25.35" customHeight="1" spans="1:34">
      <c r="A11" s="7" t="s">
        <v>8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10">
        <f t="shared" si="0"/>
        <v>0</v>
      </c>
      <c r="AH11" s="10">
        <f t="shared" si="1"/>
        <v>0</v>
      </c>
    </row>
    <row r="12" ht="25.35" customHeight="1" spans="1:34">
      <c r="A12" s="7" t="s">
        <v>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10">
        <f t="shared" si="0"/>
        <v>0</v>
      </c>
      <c r="AH12" s="10">
        <f t="shared" si="1"/>
        <v>0</v>
      </c>
    </row>
    <row r="13" ht="25.35" customHeight="1" spans="1:34">
      <c r="A13" s="7" t="s">
        <v>10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10">
        <f t="shared" si="0"/>
        <v>0</v>
      </c>
      <c r="AH13" s="10">
        <f t="shared" si="1"/>
        <v>0</v>
      </c>
    </row>
    <row r="14" ht="25.35" customHeight="1" spans="1:34">
      <c r="A14" s="7" t="s">
        <v>16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10">
        <f t="shared" ref="AG14" si="2">SUM(B14:AF14)</f>
        <v>0</v>
      </c>
      <c r="AH14" s="10">
        <f t="shared" ref="AH14" si="3">AG14</f>
        <v>0</v>
      </c>
    </row>
    <row r="15" ht="25.35" customHeight="1" spans="1:34">
      <c r="A15" s="7" t="s">
        <v>17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10">
        <f t="shared" si="0"/>
        <v>0</v>
      </c>
      <c r="AH15" s="10">
        <f t="shared" si="1"/>
        <v>0</v>
      </c>
    </row>
    <row r="16" ht="25.35" customHeight="1" spans="1:34">
      <c r="A16" s="7" t="s">
        <v>18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10">
        <f t="shared" si="0"/>
        <v>0</v>
      </c>
      <c r="AH16" s="10">
        <f t="shared" si="1"/>
        <v>0</v>
      </c>
    </row>
    <row r="17" ht="25.35" customHeight="1" spans="1:34">
      <c r="A17" s="7" t="s">
        <v>13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10">
        <f t="shared" si="0"/>
        <v>0</v>
      </c>
      <c r="AH17" s="10">
        <f t="shared" si="1"/>
        <v>0</v>
      </c>
    </row>
  </sheetData>
  <mergeCells count="2">
    <mergeCell ref="A3:AH3"/>
    <mergeCell ref="A5:AH5"/>
  </mergeCells>
  <printOptions horizontalCentered="1"/>
  <pageMargins left="0.118110236220472" right="0.118110236220472" top="0.748031496062992" bottom="0.748031496062992" header="0.31496062992126" footer="0.31496062992126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-0.499984740745262"/>
  </sheetPr>
  <dimension ref="A1:AH17"/>
  <sheetViews>
    <sheetView tabSelected="1" topLeftCell="A4" workbookViewId="0">
      <selection activeCell="O16" sqref="O16"/>
    </sheetView>
  </sheetViews>
  <sheetFormatPr defaultColWidth="11" defaultRowHeight="15"/>
  <cols>
    <col min="1" max="1" width="12" customWidth="1"/>
    <col min="2" max="32" width="3.71428571428571" customWidth="1"/>
    <col min="33" max="33" width="8" customWidth="1"/>
    <col min="34" max="34" width="6.71428571428571" customWidth="1"/>
  </cols>
  <sheetData>
    <row r="1" ht="17.25" spans="1:1">
      <c r="A1" s="1" t="s">
        <v>0</v>
      </c>
    </row>
    <row r="3" ht="15.75" spans="1:34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5" ht="15.75" spans="1:34">
      <c r="A5" s="3" t="s">
        <v>19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7" spans="1:34">
      <c r="A7" s="5" t="s">
        <v>3</v>
      </c>
      <c r="B7" s="6">
        <v>1</v>
      </c>
      <c r="C7" s="6">
        <v>2</v>
      </c>
      <c r="D7" s="6">
        <v>3</v>
      </c>
      <c r="E7" s="6">
        <v>4</v>
      </c>
      <c r="F7" s="6">
        <v>5</v>
      </c>
      <c r="G7" s="6">
        <v>6</v>
      </c>
      <c r="H7" s="6">
        <v>7</v>
      </c>
      <c r="I7" s="6">
        <v>8</v>
      </c>
      <c r="J7" s="6">
        <v>9</v>
      </c>
      <c r="K7" s="6">
        <v>10</v>
      </c>
      <c r="L7" s="6">
        <v>11</v>
      </c>
      <c r="M7" s="6">
        <v>12</v>
      </c>
      <c r="N7" s="6">
        <v>13</v>
      </c>
      <c r="O7" s="6">
        <v>14</v>
      </c>
      <c r="P7" s="6">
        <v>15</v>
      </c>
      <c r="Q7" s="6">
        <v>16</v>
      </c>
      <c r="R7" s="6">
        <v>17</v>
      </c>
      <c r="S7" s="6">
        <v>18</v>
      </c>
      <c r="T7" s="6">
        <v>19</v>
      </c>
      <c r="U7" s="6">
        <v>20</v>
      </c>
      <c r="V7" s="6">
        <v>21</v>
      </c>
      <c r="W7" s="6">
        <v>22</v>
      </c>
      <c r="X7" s="6">
        <v>23</v>
      </c>
      <c r="Y7" s="6">
        <v>24</v>
      </c>
      <c r="Z7" s="6">
        <v>25</v>
      </c>
      <c r="AA7" s="6">
        <v>26</v>
      </c>
      <c r="AB7" s="6">
        <v>27</v>
      </c>
      <c r="AC7" s="6">
        <v>28</v>
      </c>
      <c r="AD7" s="6">
        <v>29</v>
      </c>
      <c r="AE7" s="6">
        <v>30</v>
      </c>
      <c r="AF7" s="6">
        <v>31</v>
      </c>
      <c r="AG7" s="9" t="s">
        <v>4</v>
      </c>
      <c r="AH7" s="9" t="s">
        <v>15</v>
      </c>
    </row>
    <row r="8" ht="25.35" customHeight="1" spans="1:34">
      <c r="A8" s="7" t="s">
        <v>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>
        <v>0</v>
      </c>
      <c r="O8" s="8">
        <v>0</v>
      </c>
      <c r="P8" s="8"/>
      <c r="Q8" s="8"/>
      <c r="R8" s="8"/>
      <c r="S8" s="8">
        <v>0</v>
      </c>
      <c r="T8" s="8">
        <v>0</v>
      </c>
      <c r="U8" s="8"/>
      <c r="V8" s="8"/>
      <c r="W8" s="8">
        <v>0</v>
      </c>
      <c r="X8" s="8">
        <v>0</v>
      </c>
      <c r="Y8" s="8">
        <v>0</v>
      </c>
      <c r="Z8" s="8"/>
      <c r="AA8" s="8"/>
      <c r="AB8" s="8"/>
      <c r="AC8" s="8"/>
      <c r="AD8" s="8"/>
      <c r="AE8" s="8"/>
      <c r="AF8" s="8"/>
      <c r="AG8" s="10">
        <f>SUM(B8:AF8)</f>
        <v>0</v>
      </c>
      <c r="AH8" s="10">
        <f>FEVRIER!AH8+AG8</f>
        <v>0</v>
      </c>
    </row>
    <row r="9" ht="25.35" customHeight="1" spans="1:34">
      <c r="A9" s="7" t="s">
        <v>6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>
        <v>0</v>
      </c>
      <c r="O9" s="8">
        <v>0</v>
      </c>
      <c r="P9" s="8"/>
      <c r="Q9" s="8"/>
      <c r="R9" s="8"/>
      <c r="S9" s="8">
        <v>0</v>
      </c>
      <c r="T9" s="8">
        <v>0</v>
      </c>
      <c r="U9" s="8"/>
      <c r="V9" s="8"/>
      <c r="W9" s="8">
        <v>0</v>
      </c>
      <c r="X9" s="8">
        <v>0</v>
      </c>
      <c r="Y9" s="8">
        <v>0</v>
      </c>
      <c r="Z9" s="8"/>
      <c r="AA9" s="8"/>
      <c r="AB9" s="8"/>
      <c r="AC9" s="8"/>
      <c r="AD9" s="8"/>
      <c r="AE9" s="8"/>
      <c r="AF9" s="8"/>
      <c r="AG9" s="10">
        <f t="shared" ref="AG9:AG17" si="0">SUM(B9:AF9)</f>
        <v>0</v>
      </c>
      <c r="AH9" s="10">
        <f>FEVRIER!AH9+AG9</f>
        <v>0</v>
      </c>
    </row>
    <row r="10" ht="25.35" customHeight="1" spans="1:34">
      <c r="A10" s="7" t="s">
        <v>7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>
        <v>0</v>
      </c>
      <c r="O10" s="8">
        <v>0</v>
      </c>
      <c r="P10" s="8"/>
      <c r="Q10" s="8"/>
      <c r="R10" s="8"/>
      <c r="S10" s="8">
        <v>0</v>
      </c>
      <c r="T10" s="8">
        <v>0</v>
      </c>
      <c r="U10" s="8"/>
      <c r="V10" s="8"/>
      <c r="W10" s="8">
        <v>0</v>
      </c>
      <c r="X10" s="8">
        <v>0</v>
      </c>
      <c r="Y10" s="8">
        <v>0</v>
      </c>
      <c r="Z10" s="8"/>
      <c r="AA10" s="8"/>
      <c r="AB10" s="8"/>
      <c r="AC10" s="8"/>
      <c r="AD10" s="8"/>
      <c r="AE10" s="8"/>
      <c r="AF10" s="8"/>
      <c r="AG10" s="10">
        <f t="shared" si="0"/>
        <v>0</v>
      </c>
      <c r="AH10" s="10">
        <f>FEVRIER!AH10+AG10</f>
        <v>0</v>
      </c>
    </row>
    <row r="11" ht="25.35" customHeight="1" spans="1:34">
      <c r="A11" s="7" t="s">
        <v>8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>
        <v>0</v>
      </c>
      <c r="O11" s="8">
        <v>0</v>
      </c>
      <c r="P11" s="8"/>
      <c r="Q11" s="8"/>
      <c r="R11" s="8"/>
      <c r="S11" s="8">
        <v>0</v>
      </c>
      <c r="T11" s="8">
        <v>0</v>
      </c>
      <c r="U11" s="8"/>
      <c r="V11" s="8"/>
      <c r="W11" s="8">
        <v>0</v>
      </c>
      <c r="X11" s="8">
        <v>0</v>
      </c>
      <c r="Y11" s="8">
        <v>0</v>
      </c>
      <c r="Z11" s="8"/>
      <c r="AA11" s="8"/>
      <c r="AB11" s="8"/>
      <c r="AC11" s="8"/>
      <c r="AD11" s="8"/>
      <c r="AE11" s="8"/>
      <c r="AF11" s="8"/>
      <c r="AG11" s="10">
        <f t="shared" si="0"/>
        <v>0</v>
      </c>
      <c r="AH11" s="10">
        <f>FEVRIER!AH11+AG11</f>
        <v>0</v>
      </c>
    </row>
    <row r="12" ht="25.35" customHeight="1" spans="1:34">
      <c r="A12" s="7" t="s">
        <v>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>
        <v>15</v>
      </c>
      <c r="O12" s="8">
        <v>0</v>
      </c>
      <c r="P12" s="8"/>
      <c r="Q12" s="8"/>
      <c r="R12" s="8"/>
      <c r="S12" s="8">
        <v>0</v>
      </c>
      <c r="T12" s="8">
        <v>0</v>
      </c>
      <c r="U12" s="8"/>
      <c r="V12" s="8"/>
      <c r="W12" s="8">
        <v>0</v>
      </c>
      <c r="X12" s="8">
        <v>0</v>
      </c>
      <c r="Y12" s="8">
        <v>0</v>
      </c>
      <c r="Z12" s="8"/>
      <c r="AA12" s="8"/>
      <c r="AB12" s="8"/>
      <c r="AC12" s="8"/>
      <c r="AD12" s="8"/>
      <c r="AE12" s="8"/>
      <c r="AF12" s="8"/>
      <c r="AG12" s="10">
        <f t="shared" si="0"/>
        <v>15</v>
      </c>
      <c r="AH12" s="10">
        <f>FEVRIER!AH12+AG12</f>
        <v>15</v>
      </c>
    </row>
    <row r="13" ht="25.35" customHeight="1" spans="1:34">
      <c r="A13" s="7" t="s">
        <v>10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>
        <v>0</v>
      </c>
      <c r="O13" s="8">
        <v>0</v>
      </c>
      <c r="P13" s="8"/>
      <c r="Q13" s="8"/>
      <c r="R13" s="8"/>
      <c r="S13" s="8">
        <v>0</v>
      </c>
      <c r="T13" s="8">
        <v>0</v>
      </c>
      <c r="U13" s="8"/>
      <c r="V13" s="8"/>
      <c r="W13" s="8">
        <v>0</v>
      </c>
      <c r="X13" s="8">
        <v>0</v>
      </c>
      <c r="Y13" s="8">
        <v>0</v>
      </c>
      <c r="Z13" s="8"/>
      <c r="AA13" s="8"/>
      <c r="AB13" s="8"/>
      <c r="AC13" s="8"/>
      <c r="AD13" s="8"/>
      <c r="AE13" s="8"/>
      <c r="AF13" s="8"/>
      <c r="AG13" s="10">
        <f t="shared" si="0"/>
        <v>0</v>
      </c>
      <c r="AH13" s="10">
        <f>FEVRIER!AH13+AG13</f>
        <v>0</v>
      </c>
    </row>
    <row r="14" ht="25.35" customHeight="1" spans="1:34">
      <c r="A14" s="7" t="s">
        <v>16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>
        <v>22</v>
      </c>
      <c r="O14" s="8">
        <v>0</v>
      </c>
      <c r="P14" s="8"/>
      <c r="Q14" s="8"/>
      <c r="R14" s="8"/>
      <c r="S14" s="8">
        <v>0</v>
      </c>
      <c r="T14" s="8">
        <v>0</v>
      </c>
      <c r="U14" s="8"/>
      <c r="V14" s="8"/>
      <c r="W14" s="8">
        <v>9</v>
      </c>
      <c r="X14" s="8">
        <v>0</v>
      </c>
      <c r="Y14" s="8">
        <v>0</v>
      </c>
      <c r="Z14" s="8"/>
      <c r="AA14" s="8"/>
      <c r="AB14" s="8"/>
      <c r="AC14" s="8"/>
      <c r="AD14" s="8"/>
      <c r="AE14" s="8"/>
      <c r="AF14" s="8"/>
      <c r="AG14" s="10">
        <f t="shared" si="0"/>
        <v>31</v>
      </c>
      <c r="AH14" s="10">
        <f>FEVRIER!AH14+AG14</f>
        <v>31</v>
      </c>
    </row>
    <row r="15" ht="25.35" customHeight="1" spans="1:34">
      <c r="A15" s="7" t="s">
        <v>17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>
        <v>0</v>
      </c>
      <c r="O15" s="8">
        <v>0</v>
      </c>
      <c r="P15" s="8"/>
      <c r="Q15" s="8"/>
      <c r="R15" s="8"/>
      <c r="S15" s="8">
        <v>0</v>
      </c>
      <c r="T15" s="8">
        <v>0</v>
      </c>
      <c r="U15" s="8"/>
      <c r="V15" s="8"/>
      <c r="W15" s="8">
        <v>0</v>
      </c>
      <c r="X15" s="8">
        <v>12</v>
      </c>
      <c r="Y15" s="8">
        <v>2</v>
      </c>
      <c r="Z15" s="8"/>
      <c r="AA15" s="8"/>
      <c r="AB15" s="8"/>
      <c r="AC15" s="8"/>
      <c r="AD15" s="8"/>
      <c r="AE15" s="8"/>
      <c r="AF15" s="8"/>
      <c r="AG15" s="10">
        <f t="shared" si="0"/>
        <v>14</v>
      </c>
      <c r="AH15" s="10">
        <f>FEVRIER!AH15+AG15</f>
        <v>14</v>
      </c>
    </row>
    <row r="16" ht="25.35" customHeight="1" spans="1:34">
      <c r="A16" s="7" t="s">
        <v>18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>
        <v>0</v>
      </c>
      <c r="O16" s="8">
        <v>10</v>
      </c>
      <c r="P16" s="8"/>
      <c r="Q16" s="8"/>
      <c r="R16" s="8"/>
      <c r="S16" s="8">
        <v>0</v>
      </c>
      <c r="T16" s="8">
        <v>0</v>
      </c>
      <c r="U16" s="8"/>
      <c r="V16" s="8"/>
      <c r="W16" s="8">
        <v>0</v>
      </c>
      <c r="X16" s="8">
        <v>2</v>
      </c>
      <c r="Y16" s="8">
        <v>9</v>
      </c>
      <c r="Z16" s="8"/>
      <c r="AA16" s="8"/>
      <c r="AB16" s="8"/>
      <c r="AC16" s="8"/>
      <c r="AD16" s="8"/>
      <c r="AE16" s="8"/>
      <c r="AF16" s="8"/>
      <c r="AG16" s="10">
        <f t="shared" si="0"/>
        <v>21</v>
      </c>
      <c r="AH16" s="10">
        <f>FEVRIER!AH16+AG16</f>
        <v>21</v>
      </c>
    </row>
    <row r="17" ht="25.35" customHeight="1" spans="1:34">
      <c r="A17" s="7" t="s">
        <v>13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>
        <v>3</v>
      </c>
      <c r="O17" s="8">
        <v>0</v>
      </c>
      <c r="P17" s="8"/>
      <c r="Q17" s="8"/>
      <c r="R17" s="8"/>
      <c r="S17" s="8">
        <v>3</v>
      </c>
      <c r="T17" s="8">
        <v>5</v>
      </c>
      <c r="U17" s="8"/>
      <c r="V17" s="8"/>
      <c r="W17" s="8">
        <v>0</v>
      </c>
      <c r="X17" s="8">
        <v>4</v>
      </c>
      <c r="Y17" s="8">
        <v>11</v>
      </c>
      <c r="Z17" s="8"/>
      <c r="AA17" s="8"/>
      <c r="AB17" s="8"/>
      <c r="AC17" s="8"/>
      <c r="AD17" s="8"/>
      <c r="AE17" s="8"/>
      <c r="AF17" s="8"/>
      <c r="AG17" s="10">
        <f t="shared" si="0"/>
        <v>26</v>
      </c>
      <c r="AH17" s="10">
        <f>FEVRIER!AH17+AG17</f>
        <v>26</v>
      </c>
    </row>
  </sheetData>
  <mergeCells count="2">
    <mergeCell ref="A3:AH3"/>
    <mergeCell ref="A5:AH5"/>
  </mergeCells>
  <pageMargins left="0.118110236220472" right="0.118110236220472" top="0.748031496062992" bottom="0.748031496062992" header="0.31496062992126" footer="0.31496062992126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I17"/>
  <sheetViews>
    <sheetView topLeftCell="A4" workbookViewId="0">
      <selection activeCell="K8" sqref="K8:AE17"/>
    </sheetView>
  </sheetViews>
  <sheetFormatPr defaultColWidth="11" defaultRowHeight="15"/>
  <cols>
    <col min="1" max="1" width="12" customWidth="1"/>
    <col min="2" max="32" width="3.71428571428571" customWidth="1"/>
    <col min="33" max="33" width="8" customWidth="1"/>
    <col min="34" max="34" width="6.71428571428571" customWidth="1"/>
  </cols>
  <sheetData>
    <row r="1" ht="17.25" spans="1:1">
      <c r="A1" s="1" t="s">
        <v>0</v>
      </c>
    </row>
    <row r="3" ht="15.75" spans="1:34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5" ht="15.75" spans="1:34">
      <c r="A5" s="3" t="s">
        <v>20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7" spans="1:34">
      <c r="A7" s="5" t="s">
        <v>3</v>
      </c>
      <c r="B7" s="6">
        <v>1</v>
      </c>
      <c r="C7" s="6">
        <v>2</v>
      </c>
      <c r="D7" s="6">
        <v>3</v>
      </c>
      <c r="E7" s="6">
        <v>4</v>
      </c>
      <c r="F7" s="6">
        <v>5</v>
      </c>
      <c r="G7" s="6">
        <v>6</v>
      </c>
      <c r="H7" s="6">
        <v>7</v>
      </c>
      <c r="I7" s="6">
        <v>8</v>
      </c>
      <c r="J7" s="6">
        <v>9</v>
      </c>
      <c r="K7" s="6">
        <v>10</v>
      </c>
      <c r="L7" s="6">
        <v>11</v>
      </c>
      <c r="M7" s="6">
        <v>12</v>
      </c>
      <c r="N7" s="6">
        <v>13</v>
      </c>
      <c r="O7" s="6">
        <v>14</v>
      </c>
      <c r="P7" s="6">
        <v>15</v>
      </c>
      <c r="Q7" s="6">
        <v>16</v>
      </c>
      <c r="R7" s="6">
        <v>17</v>
      </c>
      <c r="S7" s="6">
        <v>18</v>
      </c>
      <c r="T7" s="6">
        <v>19</v>
      </c>
      <c r="U7" s="6">
        <v>20</v>
      </c>
      <c r="V7" s="6">
        <v>21</v>
      </c>
      <c r="W7" s="6">
        <v>22</v>
      </c>
      <c r="X7" s="6">
        <v>23</v>
      </c>
      <c r="Y7" s="6">
        <v>24</v>
      </c>
      <c r="Z7" s="6">
        <v>25</v>
      </c>
      <c r="AA7" s="6">
        <v>26</v>
      </c>
      <c r="AB7" s="6">
        <v>27</v>
      </c>
      <c r="AC7" s="6">
        <v>28</v>
      </c>
      <c r="AD7" s="6">
        <v>29</v>
      </c>
      <c r="AE7" s="6">
        <v>30</v>
      </c>
      <c r="AF7" s="6">
        <v>31</v>
      </c>
      <c r="AG7" s="9" t="s">
        <v>4</v>
      </c>
      <c r="AH7" s="9" t="s">
        <v>15</v>
      </c>
    </row>
    <row r="8" ht="25.35" customHeight="1" spans="1:35">
      <c r="A8" s="7" t="s">
        <v>5</v>
      </c>
      <c r="B8" s="8"/>
      <c r="C8" s="8"/>
      <c r="D8" s="8"/>
      <c r="E8" s="8"/>
      <c r="F8" s="8"/>
      <c r="G8" s="8"/>
      <c r="H8" s="8"/>
      <c r="I8" s="8"/>
      <c r="J8" s="8"/>
      <c r="K8" s="8">
        <v>3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5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/>
      <c r="AG8" s="10">
        <f>SUM(B8:AF8)</f>
        <v>8</v>
      </c>
      <c r="AH8" s="10">
        <f>MARS!AH8+AG8</f>
        <v>8</v>
      </c>
      <c r="AI8">
        <v>2</v>
      </c>
    </row>
    <row r="9" ht="25.35" customHeight="1" spans="1:35">
      <c r="A9" s="7" t="s">
        <v>6</v>
      </c>
      <c r="B9" s="8"/>
      <c r="C9" s="8"/>
      <c r="D9" s="8"/>
      <c r="E9" s="8"/>
      <c r="F9" s="8"/>
      <c r="G9" s="8"/>
      <c r="H9" s="8"/>
      <c r="I9" s="8"/>
      <c r="J9" s="8"/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/>
      <c r="AG9" s="10">
        <f t="shared" ref="AG9:AG17" si="0">SUM(B9:AF9)</f>
        <v>0</v>
      </c>
      <c r="AH9" s="10">
        <f>MARS!AH9+AG9</f>
        <v>0</v>
      </c>
      <c r="AI9">
        <v>4</v>
      </c>
    </row>
    <row r="10" ht="25.35" customHeight="1" spans="1:35">
      <c r="A10" s="7" t="s">
        <v>7</v>
      </c>
      <c r="B10" s="8"/>
      <c r="C10" s="8"/>
      <c r="D10" s="8"/>
      <c r="E10" s="8"/>
      <c r="F10" s="8"/>
      <c r="G10" s="8"/>
      <c r="H10" s="8"/>
      <c r="I10" s="8"/>
      <c r="J10" s="8"/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/>
      <c r="AG10" s="10">
        <f t="shared" si="0"/>
        <v>0</v>
      </c>
      <c r="AH10" s="10">
        <f>MARS!AH10+AG10</f>
        <v>0</v>
      </c>
      <c r="AI10">
        <v>5</v>
      </c>
    </row>
    <row r="11" ht="25.35" customHeight="1" spans="1:35">
      <c r="A11" s="7" t="s">
        <v>8</v>
      </c>
      <c r="B11" s="8"/>
      <c r="C11" s="8"/>
      <c r="D11" s="8"/>
      <c r="E11" s="8"/>
      <c r="F11" s="8"/>
      <c r="G11" s="8"/>
      <c r="H11" s="8"/>
      <c r="I11" s="8"/>
      <c r="J11" s="8"/>
      <c r="K11" s="8">
        <v>0</v>
      </c>
      <c r="L11" s="8">
        <v>0</v>
      </c>
      <c r="M11" s="8">
        <v>0</v>
      </c>
      <c r="N11" s="8">
        <v>3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/>
      <c r="AG11" s="10">
        <f t="shared" si="0"/>
        <v>3</v>
      </c>
      <c r="AH11" s="10">
        <f>MARS!AH11+AG11</f>
        <v>3</v>
      </c>
      <c r="AI11">
        <v>3</v>
      </c>
    </row>
    <row r="12" ht="25.35" customHeight="1" spans="1:35">
      <c r="A12" s="7" t="s">
        <v>9</v>
      </c>
      <c r="B12" s="8"/>
      <c r="C12" s="8"/>
      <c r="D12" s="8"/>
      <c r="E12" s="8"/>
      <c r="F12" s="8"/>
      <c r="G12" s="8"/>
      <c r="H12" s="8"/>
      <c r="I12" s="8"/>
      <c r="J12" s="8"/>
      <c r="K12" s="8">
        <v>0</v>
      </c>
      <c r="L12" s="8">
        <v>0</v>
      </c>
      <c r="M12" s="8">
        <v>0</v>
      </c>
      <c r="N12" s="8">
        <v>40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4</v>
      </c>
      <c r="X12" s="8">
        <v>0</v>
      </c>
      <c r="Y12" s="8">
        <v>36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/>
      <c r="AG12" s="10">
        <f t="shared" si="0"/>
        <v>80</v>
      </c>
      <c r="AH12" s="10">
        <f>MARS!AH12+AG12</f>
        <v>95</v>
      </c>
      <c r="AI12">
        <v>1</v>
      </c>
    </row>
    <row r="13" ht="25.35" customHeight="1" spans="1:35">
      <c r="A13" s="7" t="s">
        <v>10</v>
      </c>
      <c r="B13" s="8"/>
      <c r="C13" s="8"/>
      <c r="D13" s="8"/>
      <c r="E13" s="8"/>
      <c r="F13" s="8"/>
      <c r="G13" s="8"/>
      <c r="H13" s="8"/>
      <c r="I13" s="8"/>
      <c r="J13" s="8"/>
      <c r="K13" s="8">
        <v>0</v>
      </c>
      <c r="L13" s="8">
        <v>0</v>
      </c>
      <c r="M13" s="8">
        <v>0</v>
      </c>
      <c r="N13" s="8">
        <v>10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2</v>
      </c>
      <c r="X13" s="8"/>
      <c r="Y13" s="8">
        <v>15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/>
      <c r="AG13" s="10">
        <f t="shared" si="0"/>
        <v>27</v>
      </c>
      <c r="AH13" s="10">
        <f>MARS!AH13+AG13</f>
        <v>27</v>
      </c>
      <c r="AI13">
        <v>6</v>
      </c>
    </row>
    <row r="14" ht="25.35" customHeight="1" spans="1:35">
      <c r="A14" s="7" t="s">
        <v>16</v>
      </c>
      <c r="B14" s="8"/>
      <c r="C14" s="8"/>
      <c r="D14" s="8"/>
      <c r="E14" s="8"/>
      <c r="F14" s="8"/>
      <c r="G14" s="8"/>
      <c r="H14" s="8"/>
      <c r="I14" s="8"/>
      <c r="J14" s="8"/>
      <c r="K14" s="8">
        <v>7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5</v>
      </c>
      <c r="U14" s="8">
        <v>3</v>
      </c>
      <c r="V14" s="8">
        <v>0</v>
      </c>
      <c r="W14" s="8">
        <v>0</v>
      </c>
      <c r="X14" s="8">
        <v>3</v>
      </c>
      <c r="Y14" s="8">
        <v>30</v>
      </c>
      <c r="Z14" s="8">
        <v>0</v>
      </c>
      <c r="AA14" s="8">
        <v>0</v>
      </c>
      <c r="AB14" s="8">
        <v>0</v>
      </c>
      <c r="AC14" s="8">
        <v>0</v>
      </c>
      <c r="AD14" s="8">
        <v>4</v>
      </c>
      <c r="AE14" s="8">
        <v>0</v>
      </c>
      <c r="AF14" s="8"/>
      <c r="AG14" s="10">
        <f t="shared" ref="AG14" si="1">SUM(B14:AF14)</f>
        <v>52</v>
      </c>
      <c r="AH14" s="10">
        <f>MARS!AH14+AG14</f>
        <v>83</v>
      </c>
      <c r="AI14">
        <v>10</v>
      </c>
    </row>
    <row r="15" ht="25.35" customHeight="1" spans="1:35">
      <c r="A15" s="7" t="s">
        <v>17</v>
      </c>
      <c r="B15" s="8"/>
      <c r="C15" s="8"/>
      <c r="D15" s="8"/>
      <c r="E15" s="8"/>
      <c r="F15" s="8"/>
      <c r="G15" s="8"/>
      <c r="H15" s="8"/>
      <c r="I15" s="8"/>
      <c r="J15" s="8"/>
      <c r="K15" s="8">
        <v>12</v>
      </c>
      <c r="L15" s="8">
        <v>0</v>
      </c>
      <c r="M15" s="8">
        <v>0</v>
      </c>
      <c r="N15" s="8">
        <v>12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6</v>
      </c>
      <c r="AB15" s="8">
        <v>0</v>
      </c>
      <c r="AC15" s="8">
        <v>0</v>
      </c>
      <c r="AD15" s="8">
        <v>0</v>
      </c>
      <c r="AE15" s="8">
        <v>0</v>
      </c>
      <c r="AF15" s="8"/>
      <c r="AG15" s="10">
        <f t="shared" si="0"/>
        <v>30</v>
      </c>
      <c r="AH15" s="10">
        <f>MARS!AH15+AG15</f>
        <v>44</v>
      </c>
      <c r="AI15">
        <v>7</v>
      </c>
    </row>
    <row r="16" ht="25.35" customHeight="1" spans="1:35">
      <c r="A16" s="7" t="s">
        <v>18</v>
      </c>
      <c r="B16" s="8"/>
      <c r="C16" s="8"/>
      <c r="D16" s="8"/>
      <c r="E16" s="8"/>
      <c r="F16" s="8"/>
      <c r="G16" s="8"/>
      <c r="H16" s="8"/>
      <c r="I16" s="8"/>
      <c r="J16" s="8"/>
      <c r="K16" s="8">
        <v>0</v>
      </c>
      <c r="L16" s="8">
        <v>0</v>
      </c>
      <c r="M16" s="8">
        <v>0</v>
      </c>
      <c r="N16" s="8">
        <v>11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2</v>
      </c>
      <c r="V16" s="8">
        <v>0</v>
      </c>
      <c r="W16" s="8">
        <v>7</v>
      </c>
      <c r="X16" s="8">
        <v>3</v>
      </c>
      <c r="Y16" s="8">
        <v>23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/>
      <c r="AG16" s="10">
        <f t="shared" si="0"/>
        <v>46</v>
      </c>
      <c r="AH16" s="10">
        <f>MARS!AH16+AG16</f>
        <v>67</v>
      </c>
      <c r="AI16">
        <v>8</v>
      </c>
    </row>
    <row r="17" ht="25.35" customHeight="1" spans="1:35">
      <c r="A17" s="7" t="s">
        <v>13</v>
      </c>
      <c r="B17" s="8"/>
      <c r="C17" s="8"/>
      <c r="D17" s="8"/>
      <c r="E17" s="8"/>
      <c r="F17" s="8"/>
      <c r="G17" s="8"/>
      <c r="H17" s="8"/>
      <c r="I17" s="8"/>
      <c r="J17" s="8"/>
      <c r="K17" s="8">
        <v>3</v>
      </c>
      <c r="L17" s="8">
        <v>6</v>
      </c>
      <c r="M17" s="8">
        <v>0</v>
      </c>
      <c r="N17" s="8">
        <v>26</v>
      </c>
      <c r="O17" s="8">
        <v>0</v>
      </c>
      <c r="P17" s="8">
        <v>4</v>
      </c>
      <c r="Q17" s="8">
        <v>0</v>
      </c>
      <c r="R17" s="8">
        <v>0</v>
      </c>
      <c r="S17" s="8">
        <v>6</v>
      </c>
      <c r="T17" s="8">
        <v>0</v>
      </c>
      <c r="U17" s="8">
        <v>0</v>
      </c>
      <c r="V17" s="8">
        <v>0</v>
      </c>
      <c r="W17" s="8">
        <v>4</v>
      </c>
      <c r="X17" s="8">
        <v>0</v>
      </c>
      <c r="Y17" s="8">
        <v>53</v>
      </c>
      <c r="Z17" s="8">
        <v>0</v>
      </c>
      <c r="AA17" s="8">
        <v>0</v>
      </c>
      <c r="AB17" s="8">
        <v>0</v>
      </c>
      <c r="AC17" s="8">
        <v>7</v>
      </c>
      <c r="AD17" s="8">
        <v>0</v>
      </c>
      <c r="AE17" s="8">
        <v>0</v>
      </c>
      <c r="AF17" s="8"/>
      <c r="AG17" s="10">
        <f t="shared" si="0"/>
        <v>109</v>
      </c>
      <c r="AH17" s="10">
        <f>MARS!AH17+AG17</f>
        <v>135</v>
      </c>
      <c r="AI17">
        <v>9</v>
      </c>
    </row>
  </sheetData>
  <mergeCells count="2">
    <mergeCell ref="A3:AH3"/>
    <mergeCell ref="A5:AH5"/>
  </mergeCells>
  <pageMargins left="0.118110236220472" right="0.118110236220472" top="0.748031496062992" bottom="0.748031496062992" header="0.31496062992126" footer="0.31496062992126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AH17"/>
  <sheetViews>
    <sheetView topLeftCell="A4" workbookViewId="0">
      <pane xSplit="1" topLeftCell="B1" activePane="topRight" state="frozen"/>
      <selection/>
      <selection pane="topRight" activeCell="AI9" sqref="AI9"/>
    </sheetView>
  </sheetViews>
  <sheetFormatPr defaultColWidth="11" defaultRowHeight="15"/>
  <cols>
    <col min="1" max="1" width="10.2857142857143" customWidth="1"/>
    <col min="2" max="32" width="3.71428571428571" customWidth="1"/>
    <col min="33" max="33" width="8" customWidth="1"/>
    <col min="34" max="34" width="6.71428571428571" customWidth="1"/>
  </cols>
  <sheetData>
    <row r="1" ht="17.25" spans="1:1">
      <c r="A1" s="1" t="s">
        <v>0</v>
      </c>
    </row>
    <row r="3" ht="15.75" spans="1:34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5" ht="15.75" spans="1:34">
      <c r="A5" s="3" t="s">
        <v>21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7" spans="1:34">
      <c r="A7" s="5" t="s">
        <v>3</v>
      </c>
      <c r="B7" s="6">
        <v>1</v>
      </c>
      <c r="C7" s="6">
        <v>2</v>
      </c>
      <c r="D7" s="6">
        <v>3</v>
      </c>
      <c r="E7" s="6">
        <v>4</v>
      </c>
      <c r="F7" s="6">
        <v>5</v>
      </c>
      <c r="G7" s="6">
        <v>6</v>
      </c>
      <c r="H7" s="6">
        <v>7</v>
      </c>
      <c r="I7" s="6">
        <v>8</v>
      </c>
      <c r="J7" s="6">
        <v>9</v>
      </c>
      <c r="K7" s="6">
        <v>10</v>
      </c>
      <c r="L7" s="6">
        <v>11</v>
      </c>
      <c r="M7" s="6">
        <v>12</v>
      </c>
      <c r="N7" s="6">
        <v>13</v>
      </c>
      <c r="O7" s="6">
        <v>14</v>
      </c>
      <c r="P7" s="6">
        <v>15</v>
      </c>
      <c r="Q7" s="6">
        <v>16</v>
      </c>
      <c r="R7" s="6">
        <v>17</v>
      </c>
      <c r="S7" s="6">
        <v>18</v>
      </c>
      <c r="T7" s="6">
        <v>19</v>
      </c>
      <c r="U7" s="6">
        <v>20</v>
      </c>
      <c r="V7" s="6">
        <v>21</v>
      </c>
      <c r="W7" s="6">
        <v>22</v>
      </c>
      <c r="X7" s="6">
        <v>23</v>
      </c>
      <c r="Y7" s="6">
        <v>24</v>
      </c>
      <c r="Z7" s="6">
        <v>25</v>
      </c>
      <c r="AA7" s="6">
        <v>26</v>
      </c>
      <c r="AB7" s="6">
        <v>27</v>
      </c>
      <c r="AC7" s="6">
        <v>28</v>
      </c>
      <c r="AD7" s="6">
        <v>29</v>
      </c>
      <c r="AE7" s="6">
        <v>30</v>
      </c>
      <c r="AF7" s="6">
        <v>31</v>
      </c>
      <c r="AG7" s="9" t="s">
        <v>4</v>
      </c>
      <c r="AH7" s="9" t="s">
        <v>15</v>
      </c>
    </row>
    <row r="8" ht="25.35" customHeight="1" spans="1:34">
      <c r="A8" s="7" t="s">
        <v>5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4</v>
      </c>
      <c r="I8" s="8">
        <v>0</v>
      </c>
      <c r="J8" s="8">
        <v>2</v>
      </c>
      <c r="K8" s="8">
        <v>0</v>
      </c>
      <c r="L8" s="8">
        <v>0</v>
      </c>
      <c r="M8" s="8">
        <v>0</v>
      </c>
      <c r="N8" s="8">
        <v>1</v>
      </c>
      <c r="O8" s="8">
        <v>0</v>
      </c>
      <c r="P8" s="8">
        <v>12</v>
      </c>
      <c r="Q8" s="8">
        <v>0</v>
      </c>
      <c r="R8" s="8">
        <v>7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0">
        <f>SUM(B8:AF8)</f>
        <v>26</v>
      </c>
      <c r="AH8" s="10">
        <f>AVRIL!AH8+AG8</f>
        <v>34</v>
      </c>
    </row>
    <row r="9" ht="25.35" customHeight="1" spans="1:34">
      <c r="A9" s="7" t="s">
        <v>6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2</v>
      </c>
      <c r="K9" s="8">
        <v>5</v>
      </c>
      <c r="L9" s="8">
        <v>0</v>
      </c>
      <c r="M9" s="8">
        <v>0</v>
      </c>
      <c r="N9" s="8">
        <v>12</v>
      </c>
      <c r="O9" s="8">
        <v>3</v>
      </c>
      <c r="P9" s="8">
        <v>21</v>
      </c>
      <c r="Q9" s="8">
        <v>0</v>
      </c>
      <c r="R9" s="8">
        <v>2</v>
      </c>
      <c r="S9" s="8">
        <v>0</v>
      </c>
      <c r="T9" s="8">
        <v>15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4</v>
      </c>
      <c r="AG9" s="10">
        <f t="shared" ref="AG9:AG17" si="0">SUM(B9:AF9)</f>
        <v>64</v>
      </c>
      <c r="AH9" s="10">
        <f>AVRIL!AH9+AG9</f>
        <v>64</v>
      </c>
    </row>
    <row r="10" ht="25.35" customHeight="1" spans="1:34">
      <c r="A10" s="7" t="s">
        <v>7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2</v>
      </c>
      <c r="M10" s="8">
        <v>0</v>
      </c>
      <c r="N10" s="8">
        <v>3</v>
      </c>
      <c r="O10" s="8">
        <v>10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0">
        <f t="shared" si="0"/>
        <v>15</v>
      </c>
      <c r="AH10" s="10">
        <f>AVRIL!AH10+AG10</f>
        <v>15</v>
      </c>
    </row>
    <row r="11" ht="25.35" customHeight="1" spans="1:34">
      <c r="A11" s="7" t="s">
        <v>8</v>
      </c>
      <c r="B11" s="8">
        <v>18</v>
      </c>
      <c r="C11" s="8">
        <v>42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5</v>
      </c>
      <c r="K11" s="8">
        <v>0</v>
      </c>
      <c r="L11" s="8">
        <v>0</v>
      </c>
      <c r="M11" s="8">
        <v>0</v>
      </c>
      <c r="N11" s="8">
        <v>2</v>
      </c>
      <c r="O11" s="8">
        <v>11</v>
      </c>
      <c r="P11" s="8">
        <v>3</v>
      </c>
      <c r="Q11" s="8">
        <v>0</v>
      </c>
      <c r="R11" s="8">
        <v>1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8</v>
      </c>
      <c r="AG11" s="10">
        <f t="shared" si="0"/>
        <v>90</v>
      </c>
      <c r="AH11" s="10">
        <f>AVRIL!AH11+AG11</f>
        <v>93</v>
      </c>
    </row>
    <row r="12" ht="25.35" customHeight="1" spans="1:34">
      <c r="A12" s="7" t="s">
        <v>9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16</v>
      </c>
      <c r="H12" s="8">
        <v>0</v>
      </c>
      <c r="I12" s="8">
        <v>0</v>
      </c>
      <c r="J12" s="8">
        <v>8</v>
      </c>
      <c r="K12" s="8">
        <v>0</v>
      </c>
      <c r="L12" s="8">
        <v>0</v>
      </c>
      <c r="M12" s="8">
        <v>9</v>
      </c>
      <c r="N12" s="8">
        <v>0</v>
      </c>
      <c r="O12" s="8">
        <v>2</v>
      </c>
      <c r="P12" s="8">
        <v>12</v>
      </c>
      <c r="Q12" s="8">
        <v>0</v>
      </c>
      <c r="R12" s="8">
        <v>20</v>
      </c>
      <c r="S12" s="8">
        <v>0</v>
      </c>
      <c r="T12" s="8">
        <v>1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1</v>
      </c>
      <c r="AB12" s="8">
        <v>0</v>
      </c>
      <c r="AC12" s="8">
        <v>0</v>
      </c>
      <c r="AD12" s="8">
        <v>0</v>
      </c>
      <c r="AE12" s="8">
        <v>0</v>
      </c>
      <c r="AF12" s="8">
        <v>2</v>
      </c>
      <c r="AG12" s="10">
        <f t="shared" si="0"/>
        <v>71</v>
      </c>
      <c r="AH12" s="10">
        <f>AVRIL!AH12+AG12</f>
        <v>166</v>
      </c>
    </row>
    <row r="13" ht="25.35" customHeight="1" spans="1:34">
      <c r="A13" s="7" t="s">
        <v>10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18</v>
      </c>
      <c r="H13" s="8">
        <v>0</v>
      </c>
      <c r="I13" s="8">
        <v>0</v>
      </c>
      <c r="J13" s="8">
        <v>0</v>
      </c>
      <c r="K13" s="8">
        <v>3</v>
      </c>
      <c r="L13" s="8">
        <v>0</v>
      </c>
      <c r="M13" s="8">
        <v>3</v>
      </c>
      <c r="N13" s="8">
        <v>0</v>
      </c>
      <c r="O13" s="8">
        <v>3</v>
      </c>
      <c r="P13" s="8">
        <v>11</v>
      </c>
      <c r="Q13" s="8">
        <v>0</v>
      </c>
      <c r="R13" s="8">
        <v>3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2</v>
      </c>
      <c r="AB13" s="8">
        <v>0</v>
      </c>
      <c r="AC13" s="8">
        <v>0</v>
      </c>
      <c r="AD13" s="8">
        <v>0</v>
      </c>
      <c r="AE13" s="8">
        <v>0</v>
      </c>
      <c r="AF13" s="8">
        <v>6</v>
      </c>
      <c r="AG13" s="10">
        <f t="shared" si="0"/>
        <v>49</v>
      </c>
      <c r="AH13" s="10">
        <f>AVRIL!AH13+AG13</f>
        <v>76</v>
      </c>
    </row>
    <row r="14" ht="25.35" customHeight="1" spans="1:34">
      <c r="A14" s="7" t="s">
        <v>16</v>
      </c>
      <c r="B14" s="8">
        <v>0</v>
      </c>
      <c r="C14" s="8">
        <v>0</v>
      </c>
      <c r="D14" s="8">
        <v>0</v>
      </c>
      <c r="E14" s="8">
        <v>16</v>
      </c>
      <c r="F14" s="8">
        <v>0</v>
      </c>
      <c r="G14" s="8">
        <v>85</v>
      </c>
      <c r="H14" s="8">
        <v>0</v>
      </c>
      <c r="I14" s="8">
        <v>0</v>
      </c>
      <c r="J14" s="8">
        <v>0</v>
      </c>
      <c r="K14" s="8">
        <v>3</v>
      </c>
      <c r="L14" s="8">
        <v>0</v>
      </c>
      <c r="M14" s="8">
        <v>6</v>
      </c>
      <c r="N14" s="8">
        <v>35</v>
      </c>
      <c r="O14" s="8">
        <v>0</v>
      </c>
      <c r="P14" s="8">
        <v>40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11</v>
      </c>
      <c r="AB14" s="8">
        <v>0</v>
      </c>
      <c r="AC14" s="8">
        <v>0</v>
      </c>
      <c r="AD14" s="8">
        <v>0</v>
      </c>
      <c r="AE14" s="8">
        <v>0</v>
      </c>
      <c r="AF14" s="8">
        <v>10</v>
      </c>
      <c r="AG14" s="10">
        <f t="shared" ref="AG14" si="1">SUM(B14:AF14)</f>
        <v>206</v>
      </c>
      <c r="AH14" s="10">
        <f>AVRIL!AH14+AG14</f>
        <v>289</v>
      </c>
    </row>
    <row r="15" ht="25.35" customHeight="1" spans="1:34">
      <c r="A15" s="7" t="s">
        <v>17</v>
      </c>
      <c r="B15" s="8">
        <v>0</v>
      </c>
      <c r="C15" s="8">
        <v>0</v>
      </c>
      <c r="D15" s="8">
        <v>0</v>
      </c>
      <c r="E15" s="8">
        <v>13</v>
      </c>
      <c r="F15" s="8">
        <v>0</v>
      </c>
      <c r="G15" s="8">
        <v>1</v>
      </c>
      <c r="H15" s="8">
        <v>0</v>
      </c>
      <c r="I15" s="8">
        <v>0</v>
      </c>
      <c r="J15" s="8">
        <v>0</v>
      </c>
      <c r="K15" s="8">
        <v>20</v>
      </c>
      <c r="L15" s="8">
        <v>0</v>
      </c>
      <c r="M15" s="8">
        <v>0</v>
      </c>
      <c r="N15" s="8">
        <v>0</v>
      </c>
      <c r="O15" s="8">
        <v>0</v>
      </c>
      <c r="P15" s="8">
        <v>28</v>
      </c>
      <c r="Q15" s="8">
        <v>0</v>
      </c>
      <c r="R15" s="8">
        <v>0</v>
      </c>
      <c r="S15" s="8">
        <v>0</v>
      </c>
      <c r="T15" s="8">
        <v>0</v>
      </c>
      <c r="U15" s="8">
        <v>4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25</v>
      </c>
      <c r="AG15" s="10">
        <f t="shared" si="0"/>
        <v>91</v>
      </c>
      <c r="AH15" s="10">
        <f>AVRIL!AH15+AG15</f>
        <v>135</v>
      </c>
    </row>
    <row r="16" ht="25.35" customHeight="1" spans="1:34">
      <c r="A16" s="7" t="s">
        <v>18</v>
      </c>
      <c r="B16" s="8">
        <v>4</v>
      </c>
      <c r="C16" s="8">
        <v>0</v>
      </c>
      <c r="D16" s="8">
        <v>0</v>
      </c>
      <c r="E16" s="8">
        <v>0</v>
      </c>
      <c r="F16" s="8">
        <v>0</v>
      </c>
      <c r="G16" s="8">
        <v>65</v>
      </c>
      <c r="H16" s="8">
        <v>0</v>
      </c>
      <c r="I16" s="8">
        <v>2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13</v>
      </c>
      <c r="V16" s="8">
        <v>5</v>
      </c>
      <c r="W16" s="8">
        <v>0</v>
      </c>
      <c r="X16" s="8">
        <v>0</v>
      </c>
      <c r="Y16" s="8">
        <v>0</v>
      </c>
      <c r="Z16" s="8">
        <v>0</v>
      </c>
      <c r="AA16" s="8">
        <v>5</v>
      </c>
      <c r="AB16" s="8">
        <v>0</v>
      </c>
      <c r="AC16" s="8">
        <v>0</v>
      </c>
      <c r="AD16" s="8">
        <v>2</v>
      </c>
      <c r="AE16" s="8">
        <v>0</v>
      </c>
      <c r="AF16" s="8">
        <v>31</v>
      </c>
      <c r="AG16" s="10">
        <f t="shared" si="0"/>
        <v>127</v>
      </c>
      <c r="AH16" s="10">
        <f>AVRIL!AH16+AG16</f>
        <v>194</v>
      </c>
    </row>
    <row r="17" ht="25.35" customHeight="1" spans="1:34">
      <c r="A17" s="7" t="s">
        <v>13</v>
      </c>
      <c r="B17" s="8">
        <v>0</v>
      </c>
      <c r="C17" s="8">
        <v>2</v>
      </c>
      <c r="D17" s="8">
        <v>0</v>
      </c>
      <c r="E17" s="8">
        <v>2</v>
      </c>
      <c r="F17" s="8">
        <v>0</v>
      </c>
      <c r="G17" s="8">
        <v>12</v>
      </c>
      <c r="H17" s="8">
        <v>0</v>
      </c>
      <c r="I17" s="8">
        <v>0</v>
      </c>
      <c r="J17" s="8">
        <v>0</v>
      </c>
      <c r="K17" s="8">
        <v>1</v>
      </c>
      <c r="L17" s="8">
        <v>0</v>
      </c>
      <c r="M17" s="8">
        <v>3</v>
      </c>
      <c r="N17" s="8">
        <v>0</v>
      </c>
      <c r="O17" s="8">
        <v>0</v>
      </c>
      <c r="P17" s="8">
        <v>15</v>
      </c>
      <c r="Q17" s="8">
        <v>0</v>
      </c>
      <c r="R17" s="8">
        <v>0</v>
      </c>
      <c r="S17" s="8">
        <v>0</v>
      </c>
      <c r="T17" s="8">
        <v>0</v>
      </c>
      <c r="U17" s="8">
        <v>30</v>
      </c>
      <c r="V17" s="8">
        <v>6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1</v>
      </c>
      <c r="AD17" s="8">
        <v>5</v>
      </c>
      <c r="AE17" s="8">
        <v>0</v>
      </c>
      <c r="AF17" s="8">
        <v>7</v>
      </c>
      <c r="AG17" s="10">
        <f t="shared" si="0"/>
        <v>84</v>
      </c>
      <c r="AH17" s="10">
        <f>AVRIL!AH17+AG17</f>
        <v>219</v>
      </c>
    </row>
  </sheetData>
  <mergeCells count="2">
    <mergeCell ref="A3:AH3"/>
    <mergeCell ref="A5:AH5"/>
  </mergeCells>
  <pageMargins left="0.31496062992126" right="0.31496062992126" top="0.748031496062992" bottom="0.748031496062992" header="0.31496062992126" footer="0.31496062992126"/>
  <pageSetup paperSize="9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AH17"/>
  <sheetViews>
    <sheetView topLeftCell="A6" workbookViewId="0">
      <selection activeCell="B8" sqref="B8:AE17"/>
    </sheetView>
  </sheetViews>
  <sheetFormatPr defaultColWidth="11" defaultRowHeight="15"/>
  <cols>
    <col min="1" max="1" width="15.1428571428571" customWidth="1"/>
    <col min="2" max="32" width="3.71428571428571" customWidth="1"/>
    <col min="33" max="33" width="8" customWidth="1"/>
    <col min="34" max="34" width="6.71428571428571" customWidth="1"/>
  </cols>
  <sheetData>
    <row r="1" ht="17.25" spans="1:1">
      <c r="A1" s="1" t="s">
        <v>0</v>
      </c>
    </row>
    <row r="3" ht="15.75" spans="1:34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5" ht="15.75" spans="1:34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7" spans="1:34">
      <c r="A7" s="5" t="s">
        <v>3</v>
      </c>
      <c r="B7" s="6">
        <v>1</v>
      </c>
      <c r="C7" s="6">
        <v>2</v>
      </c>
      <c r="D7" s="6">
        <v>3</v>
      </c>
      <c r="E7" s="6">
        <v>4</v>
      </c>
      <c r="F7" s="6">
        <v>5</v>
      </c>
      <c r="G7" s="6">
        <v>6</v>
      </c>
      <c r="H7" s="6">
        <v>7</v>
      </c>
      <c r="I7" s="6">
        <v>8</v>
      </c>
      <c r="J7" s="6">
        <v>9</v>
      </c>
      <c r="K7" s="6">
        <v>10</v>
      </c>
      <c r="L7" s="6">
        <v>11</v>
      </c>
      <c r="M7" s="6">
        <v>12</v>
      </c>
      <c r="N7" s="6">
        <v>13</v>
      </c>
      <c r="O7" s="6">
        <v>14</v>
      </c>
      <c r="P7" s="6">
        <v>15</v>
      </c>
      <c r="Q7" s="6">
        <v>16</v>
      </c>
      <c r="R7" s="6">
        <v>17</v>
      </c>
      <c r="S7" s="6">
        <v>18</v>
      </c>
      <c r="T7" s="6">
        <v>19</v>
      </c>
      <c r="U7" s="6">
        <v>20</v>
      </c>
      <c r="V7" s="6">
        <v>21</v>
      </c>
      <c r="W7" s="6">
        <v>22</v>
      </c>
      <c r="X7" s="6">
        <v>23</v>
      </c>
      <c r="Y7" s="6">
        <v>24</v>
      </c>
      <c r="Z7" s="6">
        <v>25</v>
      </c>
      <c r="AA7" s="6">
        <v>26</v>
      </c>
      <c r="AB7" s="6">
        <v>27</v>
      </c>
      <c r="AC7" s="6">
        <v>28</v>
      </c>
      <c r="AD7" s="6">
        <v>29</v>
      </c>
      <c r="AE7" s="6">
        <v>30</v>
      </c>
      <c r="AF7" s="6">
        <v>31</v>
      </c>
      <c r="AG7" s="9" t="s">
        <v>4</v>
      </c>
      <c r="AH7" s="9" t="s">
        <v>15</v>
      </c>
    </row>
    <row r="8" ht="25.35" customHeight="1" spans="1:34">
      <c r="A8" s="7" t="s">
        <v>5</v>
      </c>
      <c r="B8" s="8">
        <v>0</v>
      </c>
      <c r="C8" s="8">
        <v>0</v>
      </c>
      <c r="D8" s="8">
        <v>0</v>
      </c>
      <c r="E8" s="8">
        <v>53</v>
      </c>
      <c r="F8" s="8">
        <v>0</v>
      </c>
      <c r="G8" s="8">
        <v>0</v>
      </c>
      <c r="H8" s="8">
        <v>15</v>
      </c>
      <c r="I8" s="8">
        <v>0</v>
      </c>
      <c r="J8" s="8">
        <v>0</v>
      </c>
      <c r="K8" s="8">
        <v>0</v>
      </c>
      <c r="L8" s="8">
        <v>9</v>
      </c>
      <c r="M8" s="8">
        <v>9</v>
      </c>
      <c r="N8" s="8">
        <v>0</v>
      </c>
      <c r="O8" s="8">
        <v>0</v>
      </c>
      <c r="P8" s="8">
        <v>3</v>
      </c>
      <c r="Q8" s="8">
        <v>0</v>
      </c>
      <c r="R8" s="8">
        <v>10</v>
      </c>
      <c r="S8" s="8">
        <v>0</v>
      </c>
      <c r="T8" s="8">
        <v>1</v>
      </c>
      <c r="U8" s="8">
        <v>0</v>
      </c>
      <c r="V8" s="8">
        <v>2</v>
      </c>
      <c r="W8" s="8">
        <v>0</v>
      </c>
      <c r="X8" s="8">
        <v>0</v>
      </c>
      <c r="Y8" s="8">
        <v>0</v>
      </c>
      <c r="Z8" s="8">
        <v>0</v>
      </c>
      <c r="AA8" s="8">
        <v>9</v>
      </c>
      <c r="AB8" s="8">
        <v>2</v>
      </c>
      <c r="AC8" s="8">
        <v>0</v>
      </c>
      <c r="AD8" s="8">
        <v>4</v>
      </c>
      <c r="AE8" s="8">
        <v>0</v>
      </c>
      <c r="AF8" s="8"/>
      <c r="AG8" s="10">
        <f>SUM(B8:AF8)</f>
        <v>117</v>
      </c>
      <c r="AH8" s="10">
        <f>MAI!AH8+AG8</f>
        <v>151</v>
      </c>
    </row>
    <row r="9" ht="25.35" customHeight="1" spans="1:34">
      <c r="A9" s="7" t="s">
        <v>6</v>
      </c>
      <c r="B9" s="8">
        <v>0</v>
      </c>
      <c r="C9" s="8">
        <v>0</v>
      </c>
      <c r="D9" s="8">
        <v>2</v>
      </c>
      <c r="E9" s="8">
        <v>27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4</v>
      </c>
      <c r="L9" s="8">
        <v>3</v>
      </c>
      <c r="M9" s="8">
        <v>1</v>
      </c>
      <c r="N9" s="8">
        <v>0</v>
      </c>
      <c r="O9" s="8">
        <v>0</v>
      </c>
      <c r="P9" s="8">
        <v>0</v>
      </c>
      <c r="Q9" s="8">
        <v>0</v>
      </c>
      <c r="R9" s="8">
        <v>6</v>
      </c>
      <c r="S9" s="8">
        <v>0</v>
      </c>
      <c r="T9" s="8">
        <v>2</v>
      </c>
      <c r="U9" s="8">
        <v>0</v>
      </c>
      <c r="V9" s="8">
        <v>6</v>
      </c>
      <c r="W9" s="8">
        <v>32</v>
      </c>
      <c r="X9" s="8">
        <v>0</v>
      </c>
      <c r="Y9" s="8">
        <v>0</v>
      </c>
      <c r="Z9" s="8">
        <v>1</v>
      </c>
      <c r="AA9" s="8">
        <v>6</v>
      </c>
      <c r="AB9" s="8">
        <v>1</v>
      </c>
      <c r="AC9" s="8">
        <v>0</v>
      </c>
      <c r="AD9" s="8">
        <v>4</v>
      </c>
      <c r="AE9" s="8">
        <v>0</v>
      </c>
      <c r="AF9" s="8"/>
      <c r="AG9" s="10">
        <f t="shared" ref="AG9:AG17" si="0">SUM(B9:AF9)</f>
        <v>95</v>
      </c>
      <c r="AH9" s="10">
        <f>MAI!AH9+AG9</f>
        <v>159</v>
      </c>
    </row>
    <row r="10" ht="25.35" customHeight="1" spans="1:34">
      <c r="A10" s="7" t="s">
        <v>7</v>
      </c>
      <c r="B10" s="8">
        <v>0</v>
      </c>
      <c r="C10" s="8">
        <v>0</v>
      </c>
      <c r="D10" s="8">
        <v>0</v>
      </c>
      <c r="E10" s="8">
        <v>45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11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3</v>
      </c>
      <c r="S10" s="8">
        <v>0</v>
      </c>
      <c r="T10" s="8">
        <v>0</v>
      </c>
      <c r="U10" s="8">
        <v>0</v>
      </c>
      <c r="V10" s="8">
        <v>0</v>
      </c>
      <c r="W10" s="8">
        <v>3</v>
      </c>
      <c r="X10" s="8">
        <v>0</v>
      </c>
      <c r="Y10" s="8">
        <v>0</v>
      </c>
      <c r="Z10" s="8">
        <v>5</v>
      </c>
      <c r="AA10" s="8">
        <v>0</v>
      </c>
      <c r="AB10" s="8">
        <v>5</v>
      </c>
      <c r="AC10" s="8">
        <v>0</v>
      </c>
      <c r="AD10" s="8">
        <v>40</v>
      </c>
      <c r="AE10" s="8">
        <v>0</v>
      </c>
      <c r="AF10" s="8"/>
      <c r="AG10" s="10">
        <f t="shared" si="0"/>
        <v>112</v>
      </c>
      <c r="AH10" s="10">
        <f>MAI!AH10+AG10</f>
        <v>127</v>
      </c>
    </row>
    <row r="11" ht="25.35" customHeight="1" spans="1:34">
      <c r="A11" s="7" t="s">
        <v>8</v>
      </c>
      <c r="B11" s="8">
        <v>0</v>
      </c>
      <c r="C11" s="8">
        <v>0</v>
      </c>
      <c r="D11" s="8">
        <v>0</v>
      </c>
      <c r="E11" s="8">
        <v>35</v>
      </c>
      <c r="F11" s="8">
        <v>0</v>
      </c>
      <c r="G11" s="8">
        <v>0</v>
      </c>
      <c r="H11" s="8">
        <v>12</v>
      </c>
      <c r="I11" s="8">
        <v>0</v>
      </c>
      <c r="J11" s="8">
        <v>0</v>
      </c>
      <c r="K11" s="8">
        <v>5</v>
      </c>
      <c r="L11" s="8">
        <v>4</v>
      </c>
      <c r="M11" s="8">
        <v>0</v>
      </c>
      <c r="N11" s="8">
        <v>0</v>
      </c>
      <c r="O11" s="8">
        <v>0</v>
      </c>
      <c r="P11" s="8">
        <v>2</v>
      </c>
      <c r="Q11" s="8">
        <v>0</v>
      </c>
      <c r="R11" s="8">
        <v>23</v>
      </c>
      <c r="S11" s="8">
        <v>0</v>
      </c>
      <c r="T11" s="8">
        <v>0</v>
      </c>
      <c r="U11" s="8">
        <v>0</v>
      </c>
      <c r="V11" s="8">
        <v>21</v>
      </c>
      <c r="W11" s="8">
        <v>24</v>
      </c>
      <c r="X11" s="8">
        <v>0</v>
      </c>
      <c r="Y11" s="8">
        <v>0</v>
      </c>
      <c r="Z11" s="8">
        <v>18</v>
      </c>
      <c r="AA11" s="8">
        <v>3</v>
      </c>
      <c r="AB11" s="8">
        <v>0</v>
      </c>
      <c r="AC11" s="8">
        <v>0</v>
      </c>
      <c r="AD11" s="8">
        <v>1</v>
      </c>
      <c r="AE11" s="8">
        <v>0</v>
      </c>
      <c r="AF11" s="8"/>
      <c r="AG11" s="10">
        <f t="shared" si="0"/>
        <v>148</v>
      </c>
      <c r="AH11" s="10">
        <f>MAI!AH11+AG11</f>
        <v>241</v>
      </c>
    </row>
    <row r="12" ht="25.35" customHeight="1" spans="1:34">
      <c r="A12" s="7" t="s">
        <v>9</v>
      </c>
      <c r="B12" s="8">
        <v>0</v>
      </c>
      <c r="C12" s="8">
        <v>0</v>
      </c>
      <c r="D12" s="8">
        <v>0</v>
      </c>
      <c r="E12" s="8">
        <v>47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2</v>
      </c>
      <c r="L12" s="8">
        <v>20</v>
      </c>
      <c r="M12" s="8">
        <v>3</v>
      </c>
      <c r="N12" s="8">
        <v>0</v>
      </c>
      <c r="O12" s="8">
        <v>0</v>
      </c>
      <c r="P12" s="8">
        <v>17</v>
      </c>
      <c r="Q12" s="8">
        <v>0</v>
      </c>
      <c r="R12" s="8">
        <v>22</v>
      </c>
      <c r="S12" s="8">
        <v>0</v>
      </c>
      <c r="T12" s="8">
        <v>10</v>
      </c>
      <c r="U12" s="8">
        <v>0</v>
      </c>
      <c r="V12" s="8">
        <v>26</v>
      </c>
      <c r="W12" s="8">
        <v>12</v>
      </c>
      <c r="X12" s="8">
        <v>0</v>
      </c>
      <c r="Y12" s="8">
        <v>0</v>
      </c>
      <c r="Z12" s="8">
        <v>30</v>
      </c>
      <c r="AA12" s="8">
        <v>20</v>
      </c>
      <c r="AB12" s="8">
        <v>0</v>
      </c>
      <c r="AC12" s="8">
        <v>2</v>
      </c>
      <c r="AD12" s="8">
        <v>5</v>
      </c>
      <c r="AE12" s="8">
        <v>0</v>
      </c>
      <c r="AF12" s="8"/>
      <c r="AG12" s="10">
        <f t="shared" si="0"/>
        <v>216</v>
      </c>
      <c r="AH12" s="10">
        <f>MAI!AH12+AG12</f>
        <v>382</v>
      </c>
    </row>
    <row r="13" ht="25.35" customHeight="1" spans="1:34">
      <c r="A13" s="7" t="s">
        <v>10</v>
      </c>
      <c r="B13" s="8">
        <v>0</v>
      </c>
      <c r="C13" s="8">
        <v>0</v>
      </c>
      <c r="D13" s="8">
        <v>14</v>
      </c>
      <c r="E13" s="8">
        <v>20</v>
      </c>
      <c r="F13" s="8">
        <v>0</v>
      </c>
      <c r="G13" s="8">
        <v>0</v>
      </c>
      <c r="H13" s="8">
        <v>0</v>
      </c>
      <c r="I13" s="8">
        <v>5</v>
      </c>
      <c r="J13" s="8">
        <v>0</v>
      </c>
      <c r="K13" s="8">
        <v>0</v>
      </c>
      <c r="L13" s="8">
        <v>3</v>
      </c>
      <c r="M13" s="8">
        <v>8</v>
      </c>
      <c r="N13" s="8">
        <v>0</v>
      </c>
      <c r="O13" s="8">
        <v>0</v>
      </c>
      <c r="P13" s="8">
        <v>13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6</v>
      </c>
      <c r="W13" s="8">
        <v>4</v>
      </c>
      <c r="X13" s="8">
        <v>0</v>
      </c>
      <c r="Y13" s="8">
        <v>0</v>
      </c>
      <c r="Z13" s="8">
        <v>0</v>
      </c>
      <c r="AA13" s="8">
        <v>22</v>
      </c>
      <c r="AB13" s="8">
        <v>0</v>
      </c>
      <c r="AC13" s="8">
        <v>0</v>
      </c>
      <c r="AD13" s="8">
        <v>20</v>
      </c>
      <c r="AE13" s="8">
        <v>0</v>
      </c>
      <c r="AF13" s="8"/>
      <c r="AG13" s="10">
        <f t="shared" si="0"/>
        <v>115</v>
      </c>
      <c r="AH13" s="10">
        <f>MAI!AH13+AG13</f>
        <v>191</v>
      </c>
    </row>
    <row r="14" ht="25.35" customHeight="1" spans="1:34">
      <c r="A14" s="7" t="s">
        <v>16</v>
      </c>
      <c r="B14" s="8">
        <v>0</v>
      </c>
      <c r="C14" s="8">
        <v>0</v>
      </c>
      <c r="D14" s="8">
        <v>0</v>
      </c>
      <c r="E14" s="8">
        <v>21</v>
      </c>
      <c r="F14" s="8">
        <v>0</v>
      </c>
      <c r="G14" s="8">
        <v>2</v>
      </c>
      <c r="H14" s="8">
        <v>0</v>
      </c>
      <c r="I14" s="8">
        <v>11</v>
      </c>
      <c r="J14" s="8">
        <v>0</v>
      </c>
      <c r="K14" s="8">
        <v>0</v>
      </c>
      <c r="L14" s="8">
        <v>0</v>
      </c>
      <c r="M14" s="8">
        <v>36</v>
      </c>
      <c r="N14" s="8">
        <v>0</v>
      </c>
      <c r="O14" s="8">
        <v>0</v>
      </c>
      <c r="P14" s="8">
        <v>8</v>
      </c>
      <c r="Q14" s="8">
        <v>0</v>
      </c>
      <c r="R14" s="8">
        <v>3</v>
      </c>
      <c r="S14" s="8">
        <v>0</v>
      </c>
      <c r="T14" s="8">
        <v>2</v>
      </c>
      <c r="U14" s="8">
        <v>27</v>
      </c>
      <c r="V14" s="8">
        <v>0</v>
      </c>
      <c r="W14" s="8">
        <v>9</v>
      </c>
      <c r="X14" s="8">
        <v>0</v>
      </c>
      <c r="Y14" s="8">
        <v>0</v>
      </c>
      <c r="Z14" s="8">
        <v>0</v>
      </c>
      <c r="AA14" s="8">
        <v>37</v>
      </c>
      <c r="AB14" s="8">
        <v>38</v>
      </c>
      <c r="AC14" s="8">
        <v>0</v>
      </c>
      <c r="AD14" s="8">
        <v>40</v>
      </c>
      <c r="AE14" s="8">
        <v>0</v>
      </c>
      <c r="AF14" s="8"/>
      <c r="AG14" s="10">
        <f t="shared" ref="AG14" si="1">SUM(B14:AF14)</f>
        <v>234</v>
      </c>
      <c r="AH14" s="10">
        <f>MAI!AH14+AG14</f>
        <v>523</v>
      </c>
    </row>
    <row r="15" ht="25.35" customHeight="1" spans="1:34">
      <c r="A15" s="7" t="s">
        <v>17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4</v>
      </c>
      <c r="H15" s="8">
        <v>0</v>
      </c>
      <c r="I15" s="8">
        <v>15</v>
      </c>
      <c r="J15" s="8">
        <v>0</v>
      </c>
      <c r="K15" s="8">
        <v>0</v>
      </c>
      <c r="L15" s="8">
        <v>0</v>
      </c>
      <c r="M15" s="8">
        <v>20</v>
      </c>
      <c r="N15" s="8">
        <v>0</v>
      </c>
      <c r="O15" s="8">
        <v>0</v>
      </c>
      <c r="P15" s="8">
        <v>45</v>
      </c>
      <c r="Q15" s="8">
        <v>5</v>
      </c>
      <c r="R15" s="8">
        <v>0</v>
      </c>
      <c r="S15" s="8">
        <v>2</v>
      </c>
      <c r="T15" s="8">
        <v>0</v>
      </c>
      <c r="U15" s="8">
        <v>2</v>
      </c>
      <c r="V15" s="8">
        <v>0</v>
      </c>
      <c r="W15" s="8">
        <v>3</v>
      </c>
      <c r="X15" s="8">
        <v>0</v>
      </c>
      <c r="Y15" s="8">
        <v>0</v>
      </c>
      <c r="Z15" s="8">
        <v>0</v>
      </c>
      <c r="AA15" s="8">
        <v>17</v>
      </c>
      <c r="AB15" s="8">
        <v>23</v>
      </c>
      <c r="AC15" s="8">
        <v>0</v>
      </c>
      <c r="AD15" s="8">
        <v>0</v>
      </c>
      <c r="AE15" s="8">
        <v>0</v>
      </c>
      <c r="AF15" s="8"/>
      <c r="AG15" s="10">
        <f t="shared" si="0"/>
        <v>136</v>
      </c>
      <c r="AH15" s="10">
        <f>MAI!AH15+AG15</f>
        <v>271</v>
      </c>
    </row>
    <row r="16" ht="25.35" customHeight="1" spans="1:34">
      <c r="A16" s="7" t="s">
        <v>18</v>
      </c>
      <c r="B16" s="8">
        <v>0</v>
      </c>
      <c r="C16" s="8">
        <v>0</v>
      </c>
      <c r="D16" s="8">
        <v>0</v>
      </c>
      <c r="E16" s="8">
        <v>53</v>
      </c>
      <c r="F16" s="8">
        <v>0</v>
      </c>
      <c r="G16" s="8">
        <v>0</v>
      </c>
      <c r="H16" s="8">
        <v>0</v>
      </c>
      <c r="I16" s="8">
        <v>2</v>
      </c>
      <c r="J16" s="8">
        <v>0</v>
      </c>
      <c r="K16" s="8">
        <v>0</v>
      </c>
      <c r="L16" s="8">
        <v>3</v>
      </c>
      <c r="M16" s="8">
        <v>44</v>
      </c>
      <c r="N16" s="8">
        <v>0</v>
      </c>
      <c r="O16" s="8">
        <v>0</v>
      </c>
      <c r="P16" s="8">
        <v>37</v>
      </c>
      <c r="Q16" s="8">
        <v>32</v>
      </c>
      <c r="R16" s="8">
        <v>0</v>
      </c>
      <c r="S16" s="8">
        <v>0</v>
      </c>
      <c r="T16" s="8">
        <v>9</v>
      </c>
      <c r="U16" s="8">
        <v>20</v>
      </c>
      <c r="V16" s="8">
        <v>0</v>
      </c>
      <c r="W16" s="8">
        <v>37</v>
      </c>
      <c r="X16" s="8">
        <v>5</v>
      </c>
      <c r="Y16" s="8">
        <v>0</v>
      </c>
      <c r="Z16" s="8">
        <v>0</v>
      </c>
      <c r="AA16" s="8">
        <v>0</v>
      </c>
      <c r="AB16" s="8">
        <v>5</v>
      </c>
      <c r="AC16" s="8">
        <v>0</v>
      </c>
      <c r="AD16" s="8">
        <v>0</v>
      </c>
      <c r="AE16" s="8">
        <v>15</v>
      </c>
      <c r="AF16" s="8"/>
      <c r="AG16" s="10">
        <f t="shared" si="0"/>
        <v>262</v>
      </c>
      <c r="AH16" s="10">
        <f>MAI!AH16+AG16</f>
        <v>456</v>
      </c>
    </row>
    <row r="17" ht="25.35" customHeight="1" spans="1:34">
      <c r="A17" s="7" t="s">
        <v>13</v>
      </c>
      <c r="B17" s="8">
        <v>0</v>
      </c>
      <c r="C17" s="8">
        <v>0</v>
      </c>
      <c r="D17" s="8">
        <v>0</v>
      </c>
      <c r="E17" s="8">
        <v>16</v>
      </c>
      <c r="F17" s="8">
        <v>0</v>
      </c>
      <c r="G17" s="8">
        <v>0</v>
      </c>
      <c r="H17" s="8">
        <v>0</v>
      </c>
      <c r="I17" s="8">
        <v>12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40</v>
      </c>
      <c r="Q17" s="8">
        <v>13</v>
      </c>
      <c r="R17" s="8">
        <v>0</v>
      </c>
      <c r="S17" s="8">
        <v>0</v>
      </c>
      <c r="T17" s="8">
        <v>27</v>
      </c>
      <c r="U17" s="8">
        <v>25</v>
      </c>
      <c r="V17" s="8">
        <v>0</v>
      </c>
      <c r="W17" s="8">
        <v>13</v>
      </c>
      <c r="X17" s="8"/>
      <c r="Y17" s="8">
        <v>0</v>
      </c>
      <c r="Z17" s="8">
        <v>0</v>
      </c>
      <c r="AA17" s="8">
        <v>0</v>
      </c>
      <c r="AB17" s="8">
        <v>15</v>
      </c>
      <c r="AC17" s="8">
        <v>2</v>
      </c>
      <c r="AD17" s="8">
        <v>2</v>
      </c>
      <c r="AE17" s="8">
        <v>2</v>
      </c>
      <c r="AF17" s="8"/>
      <c r="AG17" s="10">
        <f t="shared" si="0"/>
        <v>167</v>
      </c>
      <c r="AH17" s="10">
        <f>MAI!AH17+AG17</f>
        <v>386</v>
      </c>
    </row>
  </sheetData>
  <mergeCells count="2">
    <mergeCell ref="A3:AH3"/>
    <mergeCell ref="A5:AH5"/>
  </mergeCells>
  <pageMargins left="0.31496062992126" right="0.31496062992126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AH17"/>
  <sheetViews>
    <sheetView zoomScale="90" zoomScaleNormal="90" workbookViewId="0">
      <selection activeCell="AJ14" sqref="AJ14"/>
    </sheetView>
  </sheetViews>
  <sheetFormatPr defaultColWidth="11" defaultRowHeight="15"/>
  <cols>
    <col min="1" max="1" width="12" customWidth="1"/>
    <col min="2" max="32" width="3.71428571428571" customWidth="1"/>
    <col min="33" max="33" width="6.42857142857143" customWidth="1"/>
    <col min="34" max="34" width="6.28571428571429" customWidth="1"/>
  </cols>
  <sheetData>
    <row r="1" ht="17.25" spans="1:1">
      <c r="A1" s="1" t="s">
        <v>0</v>
      </c>
    </row>
    <row r="3" ht="15.75" spans="1:34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5" ht="15.75" spans="1:34">
      <c r="A5" s="3" t="s">
        <v>22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7" spans="1:34">
      <c r="A7" s="5" t="s">
        <v>3</v>
      </c>
      <c r="B7" s="6">
        <v>1</v>
      </c>
      <c r="C7" s="6">
        <v>2</v>
      </c>
      <c r="D7" s="6">
        <v>3</v>
      </c>
      <c r="E7" s="6">
        <v>4</v>
      </c>
      <c r="F7" s="6">
        <v>5</v>
      </c>
      <c r="G7" s="6">
        <v>6</v>
      </c>
      <c r="H7" s="6">
        <v>7</v>
      </c>
      <c r="I7" s="6">
        <v>8</v>
      </c>
      <c r="J7" s="6">
        <v>9</v>
      </c>
      <c r="K7" s="6">
        <v>10</v>
      </c>
      <c r="L7" s="6">
        <v>11</v>
      </c>
      <c r="M7" s="6">
        <v>12</v>
      </c>
      <c r="N7" s="6">
        <v>13</v>
      </c>
      <c r="O7" s="6">
        <v>14</v>
      </c>
      <c r="P7" s="6">
        <v>15</v>
      </c>
      <c r="Q7" s="6">
        <v>16</v>
      </c>
      <c r="R7" s="6">
        <v>17</v>
      </c>
      <c r="S7" s="6">
        <v>18</v>
      </c>
      <c r="T7" s="6">
        <v>19</v>
      </c>
      <c r="U7" s="6">
        <v>20</v>
      </c>
      <c r="V7" s="6">
        <v>21</v>
      </c>
      <c r="W7" s="6">
        <v>22</v>
      </c>
      <c r="X7" s="6">
        <v>23</v>
      </c>
      <c r="Y7" s="6">
        <v>24</v>
      </c>
      <c r="Z7" s="6">
        <v>25</v>
      </c>
      <c r="AA7" s="6">
        <v>26</v>
      </c>
      <c r="AB7" s="6">
        <v>27</v>
      </c>
      <c r="AC7" s="6">
        <v>28</v>
      </c>
      <c r="AD7" s="6">
        <v>29</v>
      </c>
      <c r="AE7" s="6">
        <v>30</v>
      </c>
      <c r="AF7" s="6">
        <v>31</v>
      </c>
      <c r="AG7" s="9" t="s">
        <v>4</v>
      </c>
      <c r="AH7" s="9" t="s">
        <v>15</v>
      </c>
    </row>
    <row r="8" ht="25.35" customHeight="1" spans="1:34">
      <c r="A8" s="7" t="s">
        <v>5</v>
      </c>
      <c r="B8" s="8">
        <v>0</v>
      </c>
      <c r="C8" s="8">
        <v>41</v>
      </c>
      <c r="D8" s="8">
        <v>0</v>
      </c>
      <c r="E8" s="8">
        <v>0</v>
      </c>
      <c r="F8" s="8">
        <v>2</v>
      </c>
      <c r="G8" s="8">
        <v>0</v>
      </c>
      <c r="H8" s="8">
        <v>40</v>
      </c>
      <c r="I8" s="8">
        <v>51</v>
      </c>
      <c r="J8" s="8">
        <v>0</v>
      </c>
      <c r="K8" s="8">
        <v>0</v>
      </c>
      <c r="L8" s="8">
        <v>36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13">
        <v>104</v>
      </c>
      <c r="X8" s="8">
        <v>0</v>
      </c>
      <c r="Y8" s="8">
        <v>14</v>
      </c>
      <c r="Z8" s="8">
        <v>45</v>
      </c>
      <c r="AA8" s="8">
        <v>23</v>
      </c>
      <c r="AB8" s="8">
        <v>10</v>
      </c>
      <c r="AC8" s="8">
        <v>0</v>
      </c>
      <c r="AD8" s="8">
        <v>38</v>
      </c>
      <c r="AE8" s="8">
        <v>2</v>
      </c>
      <c r="AF8" s="8">
        <v>15</v>
      </c>
      <c r="AG8" s="10">
        <f>SUM(B8:AF8)</f>
        <v>421</v>
      </c>
      <c r="AH8" s="10">
        <f>JUIN!AH8+AG8</f>
        <v>572</v>
      </c>
    </row>
    <row r="9" ht="25.35" customHeight="1" spans="1:34">
      <c r="A9" s="7" t="s">
        <v>6</v>
      </c>
      <c r="B9" s="8">
        <v>0</v>
      </c>
      <c r="C9" s="8">
        <v>17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14</v>
      </c>
      <c r="J9" s="8">
        <v>10</v>
      </c>
      <c r="K9" s="8">
        <v>0</v>
      </c>
      <c r="L9" s="8">
        <v>35</v>
      </c>
      <c r="M9" s="8">
        <v>0</v>
      </c>
      <c r="N9" s="8">
        <v>0</v>
      </c>
      <c r="O9" s="8">
        <v>3</v>
      </c>
      <c r="P9" s="8">
        <v>1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40</v>
      </c>
      <c r="X9" s="8">
        <v>0</v>
      </c>
      <c r="Y9" s="8">
        <v>0</v>
      </c>
      <c r="Z9" s="8">
        <v>12</v>
      </c>
      <c r="AA9" s="8">
        <v>15</v>
      </c>
      <c r="AB9" s="8">
        <v>3</v>
      </c>
      <c r="AC9" s="8">
        <v>8</v>
      </c>
      <c r="AD9" s="8">
        <v>6</v>
      </c>
      <c r="AE9" s="8">
        <v>0</v>
      </c>
      <c r="AF9" s="8">
        <v>0</v>
      </c>
      <c r="AG9" s="10">
        <f t="shared" ref="AG9:AG17" si="0">SUM(B9:AF9)</f>
        <v>164</v>
      </c>
      <c r="AH9" s="10">
        <f>JUIN!AH9+AG9</f>
        <v>323</v>
      </c>
    </row>
    <row r="10" ht="25.35" customHeight="1" spans="1:34">
      <c r="A10" s="7" t="s">
        <v>7</v>
      </c>
      <c r="B10" s="8">
        <v>0</v>
      </c>
      <c r="C10" s="8">
        <v>0</v>
      </c>
      <c r="D10" s="8">
        <v>6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12</v>
      </c>
      <c r="K10" s="8">
        <v>0</v>
      </c>
      <c r="L10" s="8">
        <v>45</v>
      </c>
      <c r="M10" s="8">
        <v>0</v>
      </c>
      <c r="N10" s="8">
        <v>0</v>
      </c>
      <c r="O10" s="8">
        <v>22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3</v>
      </c>
      <c r="W10" s="8">
        <v>51</v>
      </c>
      <c r="X10" s="8">
        <v>1</v>
      </c>
      <c r="Y10" s="8">
        <v>0</v>
      </c>
      <c r="Z10" s="8">
        <v>0</v>
      </c>
      <c r="AA10" s="8">
        <v>15</v>
      </c>
      <c r="AB10" s="8">
        <v>3</v>
      </c>
      <c r="AC10" s="8">
        <v>0</v>
      </c>
      <c r="AD10" s="8">
        <v>3</v>
      </c>
      <c r="AE10" s="8">
        <v>0</v>
      </c>
      <c r="AF10" s="8">
        <v>0</v>
      </c>
      <c r="AG10" s="10">
        <f t="shared" si="0"/>
        <v>161</v>
      </c>
      <c r="AH10" s="10">
        <f>JUIN!AH10+AG10</f>
        <v>288</v>
      </c>
    </row>
    <row r="11" ht="25.35" customHeight="1" spans="1:34">
      <c r="A11" s="7" t="s">
        <v>8</v>
      </c>
      <c r="B11" s="8">
        <v>0</v>
      </c>
      <c r="C11" s="8">
        <v>29</v>
      </c>
      <c r="D11" s="8">
        <v>0</v>
      </c>
      <c r="E11" s="8">
        <v>0</v>
      </c>
      <c r="F11" s="8">
        <v>0</v>
      </c>
      <c r="G11" s="8">
        <v>0</v>
      </c>
      <c r="H11" s="8">
        <v>2</v>
      </c>
      <c r="I11" s="8">
        <v>1</v>
      </c>
      <c r="J11" s="8">
        <v>9</v>
      </c>
      <c r="K11" s="8">
        <v>0</v>
      </c>
      <c r="L11" s="8">
        <v>22</v>
      </c>
      <c r="M11" s="8">
        <v>0</v>
      </c>
      <c r="N11" s="8">
        <v>0</v>
      </c>
      <c r="O11" s="8">
        <v>11</v>
      </c>
      <c r="P11" s="8">
        <v>0</v>
      </c>
      <c r="Q11" s="8">
        <v>1</v>
      </c>
      <c r="R11" s="8">
        <v>0</v>
      </c>
      <c r="S11" s="8">
        <v>0</v>
      </c>
      <c r="T11" s="8">
        <v>0</v>
      </c>
      <c r="U11" s="8">
        <v>18</v>
      </c>
      <c r="V11" s="8">
        <v>0</v>
      </c>
      <c r="W11" s="8">
        <v>87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30</v>
      </c>
      <c r="AE11" s="8">
        <v>0</v>
      </c>
      <c r="AF11" s="8">
        <v>3</v>
      </c>
      <c r="AG11" s="10">
        <f t="shared" si="0"/>
        <v>213</v>
      </c>
      <c r="AH11" s="10">
        <f>JUIN!AH11+AG11</f>
        <v>454</v>
      </c>
    </row>
    <row r="12" ht="25.35" customHeight="1" spans="1:34">
      <c r="A12" s="7" t="s">
        <v>9</v>
      </c>
      <c r="B12" s="8">
        <v>0</v>
      </c>
      <c r="C12" s="8">
        <v>70</v>
      </c>
      <c r="D12" s="8">
        <v>0</v>
      </c>
      <c r="E12" s="8">
        <v>0</v>
      </c>
      <c r="F12" s="8">
        <v>27</v>
      </c>
      <c r="G12" s="8">
        <v>0</v>
      </c>
      <c r="H12" s="8">
        <v>0</v>
      </c>
      <c r="I12" s="8">
        <v>14</v>
      </c>
      <c r="J12" s="8">
        <v>10</v>
      </c>
      <c r="K12" s="8">
        <v>0</v>
      </c>
      <c r="L12" s="8">
        <v>57</v>
      </c>
      <c r="M12" s="8">
        <v>0</v>
      </c>
      <c r="N12" s="8">
        <v>0</v>
      </c>
      <c r="O12" s="8">
        <v>33</v>
      </c>
      <c r="P12" s="8">
        <v>0</v>
      </c>
      <c r="Q12" s="8">
        <v>5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20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1</v>
      </c>
      <c r="AE12" s="8">
        <v>11</v>
      </c>
      <c r="AF12" s="8">
        <v>0</v>
      </c>
      <c r="AG12" s="10">
        <f t="shared" si="0"/>
        <v>248</v>
      </c>
      <c r="AH12" s="10">
        <f>JUIN!AH12+AG12</f>
        <v>630</v>
      </c>
    </row>
    <row r="13" ht="25.35" customHeight="1" spans="1:34">
      <c r="A13" s="7" t="s">
        <v>10</v>
      </c>
      <c r="B13" s="8">
        <v>0</v>
      </c>
      <c r="C13" s="8">
        <v>36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22</v>
      </c>
      <c r="J13" s="8">
        <v>0</v>
      </c>
      <c r="K13" s="8">
        <v>0</v>
      </c>
      <c r="L13" s="8">
        <v>44</v>
      </c>
      <c r="M13" s="8">
        <v>0</v>
      </c>
      <c r="N13" s="8">
        <v>0</v>
      </c>
      <c r="O13" s="8">
        <v>36</v>
      </c>
      <c r="P13" s="8">
        <v>0</v>
      </c>
      <c r="Q13" s="8">
        <v>28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34</v>
      </c>
      <c r="X13" s="8">
        <v>0</v>
      </c>
      <c r="Y13" s="8">
        <v>39</v>
      </c>
      <c r="Z13" s="8">
        <v>0</v>
      </c>
      <c r="AA13" s="8">
        <v>13</v>
      </c>
      <c r="AB13" s="8">
        <v>0</v>
      </c>
      <c r="AC13" s="8">
        <v>0</v>
      </c>
      <c r="AD13" s="8">
        <v>0</v>
      </c>
      <c r="AE13" s="8">
        <v>8</v>
      </c>
      <c r="AF13" s="8">
        <v>0</v>
      </c>
      <c r="AG13" s="10">
        <f t="shared" si="0"/>
        <v>260</v>
      </c>
      <c r="AH13" s="10">
        <f>JUIN!AH13+AG13</f>
        <v>451</v>
      </c>
    </row>
    <row r="14" ht="25.35" customHeight="1" spans="1:34">
      <c r="A14" s="7" t="s">
        <v>16</v>
      </c>
      <c r="B14" s="8">
        <v>0</v>
      </c>
      <c r="C14" s="8">
        <v>41</v>
      </c>
      <c r="D14" s="8">
        <v>0</v>
      </c>
      <c r="E14" s="8">
        <v>0</v>
      </c>
      <c r="F14" s="8">
        <v>0</v>
      </c>
      <c r="G14" s="8">
        <v>0</v>
      </c>
      <c r="H14" s="8">
        <v>36</v>
      </c>
      <c r="I14" s="8">
        <v>30</v>
      </c>
      <c r="J14" s="8">
        <v>0</v>
      </c>
      <c r="K14" s="8">
        <v>0</v>
      </c>
      <c r="L14" s="8">
        <v>51</v>
      </c>
      <c r="M14" s="8">
        <v>0</v>
      </c>
      <c r="N14" s="8">
        <v>0</v>
      </c>
      <c r="O14" s="8">
        <v>23</v>
      </c>
      <c r="P14" s="8">
        <v>0</v>
      </c>
      <c r="Q14" s="8">
        <v>35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13</v>
      </c>
      <c r="AF14" s="8">
        <v>2</v>
      </c>
      <c r="AG14" s="10">
        <f t="shared" ref="AG14" si="1">SUM(B14:AF14)</f>
        <v>231</v>
      </c>
      <c r="AH14" s="10">
        <f>JUIN!AH14+AG14</f>
        <v>754</v>
      </c>
    </row>
    <row r="15" ht="25.35" customHeight="1" spans="1:34">
      <c r="A15" s="7" t="s">
        <v>17</v>
      </c>
      <c r="B15" s="8">
        <v>0</v>
      </c>
      <c r="C15" s="8">
        <v>5</v>
      </c>
      <c r="D15" s="8">
        <v>0</v>
      </c>
      <c r="E15" s="8">
        <v>0</v>
      </c>
      <c r="F15" s="8">
        <v>0</v>
      </c>
      <c r="G15" s="8">
        <v>4</v>
      </c>
      <c r="H15" s="8">
        <v>0</v>
      </c>
      <c r="I15" s="8">
        <v>48</v>
      </c>
      <c r="J15" s="8">
        <v>0</v>
      </c>
      <c r="K15" s="8">
        <v>0</v>
      </c>
      <c r="L15" s="8">
        <v>43</v>
      </c>
      <c r="M15" s="8">
        <v>0</v>
      </c>
      <c r="N15" s="8">
        <v>0</v>
      </c>
      <c r="O15" s="8">
        <v>60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14</v>
      </c>
      <c r="V15" s="8">
        <v>0</v>
      </c>
      <c r="W15" s="8">
        <v>8</v>
      </c>
      <c r="X15" s="8">
        <v>0</v>
      </c>
      <c r="Y15" s="8">
        <v>0</v>
      </c>
      <c r="Z15" s="8">
        <v>0</v>
      </c>
      <c r="AA15" s="8">
        <v>34</v>
      </c>
      <c r="AB15" s="8">
        <v>0</v>
      </c>
      <c r="AC15" s="8">
        <v>0</v>
      </c>
      <c r="AD15" s="8">
        <v>3</v>
      </c>
      <c r="AE15" s="8">
        <v>0</v>
      </c>
      <c r="AF15" s="8">
        <v>0</v>
      </c>
      <c r="AG15" s="10">
        <f t="shared" si="0"/>
        <v>219</v>
      </c>
      <c r="AH15" s="10">
        <f>JUIN!AH15+AG15</f>
        <v>490</v>
      </c>
    </row>
    <row r="16" ht="25.35" customHeight="1" spans="1:34">
      <c r="A16" s="7" t="s">
        <v>18</v>
      </c>
      <c r="B16" s="8">
        <v>0</v>
      </c>
      <c r="C16" s="8">
        <v>5</v>
      </c>
      <c r="D16" s="8">
        <v>21</v>
      </c>
      <c r="E16" s="8">
        <v>15</v>
      </c>
      <c r="F16" s="8">
        <v>16</v>
      </c>
      <c r="G16" s="8">
        <v>11</v>
      </c>
      <c r="H16" s="8">
        <v>0</v>
      </c>
      <c r="I16" s="8">
        <v>14</v>
      </c>
      <c r="J16" s="8">
        <v>0</v>
      </c>
      <c r="K16" s="8">
        <v>0</v>
      </c>
      <c r="L16" s="8">
        <v>19</v>
      </c>
      <c r="M16" s="8">
        <v>0</v>
      </c>
      <c r="N16" s="8">
        <v>0</v>
      </c>
      <c r="O16" s="8">
        <v>4</v>
      </c>
      <c r="P16" s="8">
        <v>1</v>
      </c>
      <c r="Q16" s="8">
        <v>0</v>
      </c>
      <c r="R16" s="8">
        <v>0</v>
      </c>
      <c r="S16" s="8">
        <v>30</v>
      </c>
      <c r="T16" s="8">
        <v>0</v>
      </c>
      <c r="U16" s="8">
        <v>0</v>
      </c>
      <c r="V16" s="8">
        <v>0</v>
      </c>
      <c r="W16" s="8">
        <v>29</v>
      </c>
      <c r="X16" s="8">
        <v>11</v>
      </c>
      <c r="Y16" s="8">
        <v>0</v>
      </c>
      <c r="Z16" s="8">
        <v>11</v>
      </c>
      <c r="AA16" s="8">
        <v>8</v>
      </c>
      <c r="AB16" s="8">
        <v>16</v>
      </c>
      <c r="AC16" s="8">
        <v>3</v>
      </c>
      <c r="AD16" s="8">
        <v>0</v>
      </c>
      <c r="AE16" s="8">
        <v>7</v>
      </c>
      <c r="AF16" s="8">
        <v>0</v>
      </c>
      <c r="AG16" s="10">
        <f t="shared" si="0"/>
        <v>221</v>
      </c>
      <c r="AH16" s="10">
        <f>JUIN!AH16+AG16</f>
        <v>677</v>
      </c>
    </row>
    <row r="17" ht="25.35" customHeight="1" spans="1:34">
      <c r="A17" s="7" t="s">
        <v>13</v>
      </c>
      <c r="B17" s="8">
        <v>0</v>
      </c>
      <c r="C17" s="8">
        <v>0</v>
      </c>
      <c r="D17" s="8">
        <v>32</v>
      </c>
      <c r="E17" s="8">
        <v>0</v>
      </c>
      <c r="F17" s="8">
        <v>0</v>
      </c>
      <c r="G17" s="8">
        <v>10</v>
      </c>
      <c r="H17" s="8">
        <v>0</v>
      </c>
      <c r="I17" s="8">
        <v>35</v>
      </c>
      <c r="J17" s="8">
        <v>19</v>
      </c>
      <c r="K17" s="8">
        <v>0</v>
      </c>
      <c r="L17" s="8">
        <v>10</v>
      </c>
      <c r="M17" s="8">
        <v>0</v>
      </c>
      <c r="N17" s="8">
        <v>0</v>
      </c>
      <c r="O17" s="8">
        <v>12</v>
      </c>
      <c r="P17" s="8">
        <v>0</v>
      </c>
      <c r="Q17" s="8">
        <v>1</v>
      </c>
      <c r="R17" s="8">
        <v>0</v>
      </c>
      <c r="S17" s="8">
        <v>12</v>
      </c>
      <c r="T17" s="8">
        <v>0</v>
      </c>
      <c r="U17" s="8">
        <v>0</v>
      </c>
      <c r="V17" s="8">
        <v>0</v>
      </c>
      <c r="W17" s="8">
        <v>30</v>
      </c>
      <c r="X17" s="8">
        <v>10</v>
      </c>
      <c r="Y17" s="8">
        <v>6</v>
      </c>
      <c r="Z17" s="8">
        <v>0</v>
      </c>
      <c r="AA17" s="8">
        <v>18</v>
      </c>
      <c r="AB17" s="8">
        <v>0</v>
      </c>
      <c r="AC17" s="8">
        <v>2</v>
      </c>
      <c r="AD17" s="8">
        <v>41</v>
      </c>
      <c r="AE17" s="8">
        <v>0</v>
      </c>
      <c r="AF17" s="8">
        <v>0</v>
      </c>
      <c r="AG17" s="10">
        <f t="shared" si="0"/>
        <v>238</v>
      </c>
      <c r="AH17" s="10">
        <f>JUIN!AH17+AG17</f>
        <v>624</v>
      </c>
    </row>
  </sheetData>
  <mergeCells count="2">
    <mergeCell ref="A3:AH3"/>
    <mergeCell ref="A5:AH5"/>
  </mergeCells>
  <pageMargins left="0.31496062992126" right="0.31496062992126" top="0.748031496062992" bottom="0.748031496062992" header="0.31496062992126" footer="0.31496062992126"/>
  <pageSetup paperSize="9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H17"/>
  <sheetViews>
    <sheetView topLeftCell="A5" workbookViewId="0">
      <pane xSplit="1" topLeftCell="B1" activePane="topRight" state="frozen"/>
      <selection/>
      <selection pane="topRight" activeCell="Y18" sqref="Y18"/>
    </sheetView>
  </sheetViews>
  <sheetFormatPr defaultColWidth="11" defaultRowHeight="15"/>
  <cols>
    <col min="1" max="1" width="12" customWidth="1"/>
    <col min="2" max="32" width="3.71428571428571" customWidth="1"/>
    <col min="33" max="33" width="6" customWidth="1"/>
    <col min="34" max="34" width="6.28571428571429" customWidth="1"/>
  </cols>
  <sheetData>
    <row r="1" ht="17.25" spans="1:1">
      <c r="A1" s="1" t="s">
        <v>0</v>
      </c>
    </row>
    <row r="3" ht="15.75" spans="1:34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5" ht="15.75" spans="1:34">
      <c r="A5" s="3" t="s">
        <v>23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7" spans="1:34">
      <c r="A7" s="5" t="s">
        <v>3</v>
      </c>
      <c r="B7" s="6">
        <v>1</v>
      </c>
      <c r="C7" s="6">
        <v>2</v>
      </c>
      <c r="D7" s="6">
        <v>3</v>
      </c>
      <c r="E7" s="6">
        <v>4</v>
      </c>
      <c r="F7" s="6">
        <v>5</v>
      </c>
      <c r="G7" s="6">
        <v>6</v>
      </c>
      <c r="H7" s="6">
        <v>7</v>
      </c>
      <c r="I7" s="6">
        <v>8</v>
      </c>
      <c r="J7" s="6">
        <v>9</v>
      </c>
      <c r="K7" s="6">
        <v>10</v>
      </c>
      <c r="L7" s="6">
        <v>11</v>
      </c>
      <c r="M7" s="6">
        <v>12</v>
      </c>
      <c r="N7" s="6">
        <v>13</v>
      </c>
      <c r="O7" s="6">
        <v>14</v>
      </c>
      <c r="P7" s="6">
        <v>15</v>
      </c>
      <c r="Q7" s="6">
        <v>16</v>
      </c>
      <c r="R7" s="6">
        <v>17</v>
      </c>
      <c r="S7" s="6">
        <v>18</v>
      </c>
      <c r="T7" s="6">
        <v>19</v>
      </c>
      <c r="U7" s="6">
        <v>20</v>
      </c>
      <c r="V7" s="6">
        <v>21</v>
      </c>
      <c r="W7" s="6">
        <v>22</v>
      </c>
      <c r="X7" s="6">
        <v>23</v>
      </c>
      <c r="Y7" s="6">
        <v>24</v>
      </c>
      <c r="Z7" s="6">
        <v>25</v>
      </c>
      <c r="AA7" s="6">
        <v>26</v>
      </c>
      <c r="AB7" s="6">
        <v>27</v>
      </c>
      <c r="AC7" s="6">
        <v>28</v>
      </c>
      <c r="AD7" s="6">
        <v>29</v>
      </c>
      <c r="AE7" s="6">
        <v>30</v>
      </c>
      <c r="AF7" s="6">
        <v>31</v>
      </c>
      <c r="AG7" s="9" t="s">
        <v>4</v>
      </c>
      <c r="AH7" s="9" t="s">
        <v>15</v>
      </c>
    </row>
    <row r="8" ht="25.35" customHeight="1" spans="1:34">
      <c r="A8" s="7" t="s">
        <v>5</v>
      </c>
      <c r="B8" s="8">
        <v>4</v>
      </c>
      <c r="C8" s="8">
        <v>0</v>
      </c>
      <c r="D8" s="8">
        <v>0</v>
      </c>
      <c r="E8" s="8">
        <v>0</v>
      </c>
      <c r="F8" s="8">
        <v>7</v>
      </c>
      <c r="G8" s="8">
        <v>4</v>
      </c>
      <c r="H8" s="8">
        <v>0</v>
      </c>
      <c r="I8" s="8">
        <v>16</v>
      </c>
      <c r="J8" s="8">
        <v>0</v>
      </c>
      <c r="K8" s="8">
        <v>0</v>
      </c>
      <c r="L8" s="8">
        <v>21</v>
      </c>
      <c r="M8" s="8">
        <v>0</v>
      </c>
      <c r="N8" s="8">
        <v>0</v>
      </c>
      <c r="O8" s="8">
        <v>0</v>
      </c>
      <c r="P8" s="8">
        <v>33</v>
      </c>
      <c r="Q8" s="8">
        <v>20</v>
      </c>
      <c r="R8" s="8">
        <v>18</v>
      </c>
      <c r="S8" s="8">
        <v>0</v>
      </c>
      <c r="T8" s="8">
        <v>32</v>
      </c>
      <c r="U8" s="8">
        <v>2</v>
      </c>
      <c r="V8" s="8">
        <v>0</v>
      </c>
      <c r="W8" s="8">
        <v>0</v>
      </c>
      <c r="X8" s="8">
        <v>5</v>
      </c>
      <c r="Y8" s="8">
        <v>7</v>
      </c>
      <c r="Z8" s="8">
        <v>0</v>
      </c>
      <c r="AA8" s="8">
        <v>0</v>
      </c>
      <c r="AB8" s="8">
        <v>14</v>
      </c>
      <c r="AC8" s="8">
        <v>0</v>
      </c>
      <c r="AD8" s="8">
        <v>0</v>
      </c>
      <c r="AE8" s="8">
        <v>5</v>
      </c>
      <c r="AF8" s="8">
        <v>0</v>
      </c>
      <c r="AG8" s="10">
        <f>SUM(B8:AF8)</f>
        <v>188</v>
      </c>
      <c r="AH8" s="10">
        <f>JUILLET!AH8+AG8</f>
        <v>760</v>
      </c>
    </row>
    <row r="9" ht="25.35" customHeight="1" spans="1:34">
      <c r="A9" s="7" t="s">
        <v>6</v>
      </c>
      <c r="B9" s="8">
        <v>0</v>
      </c>
      <c r="C9" s="8">
        <v>0</v>
      </c>
      <c r="D9" s="8">
        <v>0</v>
      </c>
      <c r="E9" s="8">
        <v>2</v>
      </c>
      <c r="F9" s="8">
        <v>6</v>
      </c>
      <c r="G9" s="8">
        <v>20</v>
      </c>
      <c r="H9" s="8">
        <v>45</v>
      </c>
      <c r="I9" s="8">
        <v>29</v>
      </c>
      <c r="J9" s="8">
        <v>0</v>
      </c>
      <c r="K9" s="8">
        <v>3</v>
      </c>
      <c r="L9" s="8">
        <v>55</v>
      </c>
      <c r="M9" s="8">
        <v>0</v>
      </c>
      <c r="N9" s="8">
        <v>4</v>
      </c>
      <c r="O9" s="8">
        <v>3</v>
      </c>
      <c r="P9" s="8">
        <v>3</v>
      </c>
      <c r="Q9" s="8">
        <v>8</v>
      </c>
      <c r="R9" s="8">
        <v>15</v>
      </c>
      <c r="S9" s="8">
        <v>5</v>
      </c>
      <c r="T9" s="8">
        <v>29</v>
      </c>
      <c r="U9" s="8">
        <v>15</v>
      </c>
      <c r="V9" s="8">
        <v>0</v>
      </c>
      <c r="W9" s="8">
        <v>0</v>
      </c>
      <c r="X9" s="8">
        <v>0</v>
      </c>
      <c r="Y9" s="8">
        <v>0</v>
      </c>
      <c r="Z9" s="8">
        <v>36</v>
      </c>
      <c r="AA9" s="8">
        <v>0</v>
      </c>
      <c r="AB9" s="8">
        <v>35</v>
      </c>
      <c r="AC9" s="8">
        <v>6</v>
      </c>
      <c r="AD9" s="8">
        <v>0</v>
      </c>
      <c r="AE9" s="8">
        <v>8</v>
      </c>
      <c r="AF9" s="8">
        <v>0</v>
      </c>
      <c r="AG9" s="10">
        <f t="shared" ref="AG9:AG17" si="0">SUM(B9:AF9)</f>
        <v>327</v>
      </c>
      <c r="AH9" s="10">
        <f>JUILLET!AH9+AG9</f>
        <v>650</v>
      </c>
    </row>
    <row r="10" ht="25.35" customHeight="1" spans="1:34">
      <c r="A10" s="7" t="s">
        <v>7</v>
      </c>
      <c r="B10" s="8">
        <v>0</v>
      </c>
      <c r="C10" s="8">
        <v>0</v>
      </c>
      <c r="D10" s="8">
        <v>0</v>
      </c>
      <c r="E10" s="8">
        <v>3</v>
      </c>
      <c r="F10" s="8">
        <v>40</v>
      </c>
      <c r="G10" s="8">
        <v>25</v>
      </c>
      <c r="H10" s="8">
        <v>0</v>
      </c>
      <c r="I10" s="8">
        <v>18</v>
      </c>
      <c r="J10" s="8">
        <v>20</v>
      </c>
      <c r="K10" s="8">
        <v>70</v>
      </c>
      <c r="L10" s="8">
        <v>45</v>
      </c>
      <c r="M10" s="8">
        <v>0</v>
      </c>
      <c r="N10" s="8">
        <v>0</v>
      </c>
      <c r="O10" s="13">
        <v>110</v>
      </c>
      <c r="P10" s="8">
        <v>16</v>
      </c>
      <c r="Q10" s="8">
        <v>10</v>
      </c>
      <c r="R10" s="8">
        <v>32</v>
      </c>
      <c r="S10" s="8">
        <v>50</v>
      </c>
      <c r="T10" s="8">
        <v>10</v>
      </c>
      <c r="U10" s="8">
        <v>10</v>
      </c>
      <c r="V10" s="8">
        <v>5</v>
      </c>
      <c r="W10" s="8">
        <v>0</v>
      </c>
      <c r="X10" s="8">
        <v>0</v>
      </c>
      <c r="Y10" s="8">
        <v>68</v>
      </c>
      <c r="Z10" s="8">
        <v>0</v>
      </c>
      <c r="AA10" s="8">
        <v>0</v>
      </c>
      <c r="AB10" s="8">
        <v>10</v>
      </c>
      <c r="AC10" s="8">
        <v>0</v>
      </c>
      <c r="AD10" s="8">
        <v>0</v>
      </c>
      <c r="AE10" s="8">
        <v>7</v>
      </c>
      <c r="AF10" s="8">
        <v>0</v>
      </c>
      <c r="AG10" s="10">
        <f t="shared" si="0"/>
        <v>549</v>
      </c>
      <c r="AH10" s="10">
        <f>JUILLET!AH10+AG10</f>
        <v>837</v>
      </c>
    </row>
    <row r="11" ht="25.35" customHeight="1" spans="1:34">
      <c r="A11" s="7" t="s">
        <v>8</v>
      </c>
      <c r="B11" s="8">
        <v>39</v>
      </c>
      <c r="C11" s="8">
        <v>0</v>
      </c>
      <c r="D11" s="8">
        <v>0</v>
      </c>
      <c r="E11" s="8">
        <v>0</v>
      </c>
      <c r="F11" s="8">
        <v>7</v>
      </c>
      <c r="G11" s="8">
        <v>6</v>
      </c>
      <c r="H11" s="8">
        <v>12</v>
      </c>
      <c r="I11" s="8">
        <v>10</v>
      </c>
      <c r="J11" s="8">
        <v>0</v>
      </c>
      <c r="K11" s="8">
        <v>26</v>
      </c>
      <c r="L11" s="8">
        <v>87</v>
      </c>
      <c r="M11" s="8">
        <v>0</v>
      </c>
      <c r="N11" s="8">
        <v>0</v>
      </c>
      <c r="O11" s="8">
        <v>35</v>
      </c>
      <c r="P11" s="8">
        <v>5</v>
      </c>
      <c r="Q11" s="8">
        <v>16</v>
      </c>
      <c r="R11" s="8">
        <v>44</v>
      </c>
      <c r="S11" s="8">
        <v>5</v>
      </c>
      <c r="T11" s="8">
        <v>40</v>
      </c>
      <c r="U11" s="8">
        <v>4</v>
      </c>
      <c r="V11" s="8">
        <v>0</v>
      </c>
      <c r="W11" s="8">
        <v>0</v>
      </c>
      <c r="X11" s="8">
        <v>0</v>
      </c>
      <c r="Y11" s="8">
        <v>0</v>
      </c>
      <c r="Z11" s="8">
        <v>17</v>
      </c>
      <c r="AA11" s="8">
        <v>0</v>
      </c>
      <c r="AB11" s="8">
        <v>0</v>
      </c>
      <c r="AC11" s="8">
        <v>50</v>
      </c>
      <c r="AD11" s="8">
        <v>0</v>
      </c>
      <c r="AE11" s="8">
        <v>14</v>
      </c>
      <c r="AF11" s="8">
        <v>0</v>
      </c>
      <c r="AG11" s="10">
        <f t="shared" si="0"/>
        <v>417</v>
      </c>
      <c r="AH11" s="10">
        <f>JUILLET!AH11+AG11</f>
        <v>871</v>
      </c>
    </row>
    <row r="12" ht="25.35" customHeight="1" spans="1:34">
      <c r="A12" s="7" t="s">
        <v>9</v>
      </c>
      <c r="B12" s="8">
        <v>10</v>
      </c>
      <c r="C12" s="8">
        <v>0</v>
      </c>
      <c r="D12" s="8">
        <v>0</v>
      </c>
      <c r="E12" s="8">
        <v>0</v>
      </c>
      <c r="F12" s="8">
        <v>0</v>
      </c>
      <c r="G12" s="8">
        <v>6</v>
      </c>
      <c r="H12" s="8">
        <v>15</v>
      </c>
      <c r="I12" s="8">
        <v>30</v>
      </c>
      <c r="J12" s="8">
        <v>0</v>
      </c>
      <c r="K12" s="8">
        <v>2</v>
      </c>
      <c r="L12" s="13">
        <v>106</v>
      </c>
      <c r="M12" s="8">
        <v>0</v>
      </c>
      <c r="N12" s="8">
        <v>0</v>
      </c>
      <c r="O12" s="8">
        <v>0</v>
      </c>
      <c r="P12" s="8">
        <v>8</v>
      </c>
      <c r="Q12" s="8">
        <v>25</v>
      </c>
      <c r="R12" s="8">
        <v>0</v>
      </c>
      <c r="S12" s="8">
        <v>30</v>
      </c>
      <c r="T12" s="8">
        <v>5</v>
      </c>
      <c r="U12" s="8">
        <v>2</v>
      </c>
      <c r="V12" s="8">
        <v>0</v>
      </c>
      <c r="W12" s="8">
        <v>11</v>
      </c>
      <c r="X12" s="8">
        <v>0</v>
      </c>
      <c r="Y12" s="8">
        <v>0</v>
      </c>
      <c r="Z12" s="8">
        <v>55</v>
      </c>
      <c r="AA12" s="8">
        <v>0</v>
      </c>
      <c r="AB12" s="8">
        <v>0</v>
      </c>
      <c r="AC12" s="8">
        <v>35</v>
      </c>
      <c r="AD12" s="8">
        <v>0</v>
      </c>
      <c r="AE12" s="8">
        <v>5</v>
      </c>
      <c r="AF12" s="8">
        <v>0</v>
      </c>
      <c r="AG12" s="10">
        <f t="shared" si="0"/>
        <v>345</v>
      </c>
      <c r="AH12" s="10">
        <f>JUILLET!AH12+AG12</f>
        <v>975</v>
      </c>
    </row>
    <row r="13" ht="25.35" customHeight="1" spans="1:34">
      <c r="A13" s="7" t="s">
        <v>10</v>
      </c>
      <c r="B13" s="8">
        <v>22</v>
      </c>
      <c r="C13" s="8">
        <v>0</v>
      </c>
      <c r="D13" s="8">
        <v>0</v>
      </c>
      <c r="E13" s="8">
        <v>0</v>
      </c>
      <c r="F13" s="8">
        <v>2</v>
      </c>
      <c r="G13" s="8">
        <v>0</v>
      </c>
      <c r="H13" s="8">
        <v>28</v>
      </c>
      <c r="I13" s="8">
        <v>23</v>
      </c>
      <c r="J13" s="8">
        <v>2</v>
      </c>
      <c r="K13" s="8">
        <v>0</v>
      </c>
      <c r="L13" s="8">
        <v>24</v>
      </c>
      <c r="M13" s="8">
        <v>0</v>
      </c>
      <c r="N13" s="8">
        <v>0</v>
      </c>
      <c r="O13" s="8">
        <v>3</v>
      </c>
      <c r="P13" s="8">
        <v>22</v>
      </c>
      <c r="Q13" s="8">
        <v>2</v>
      </c>
      <c r="R13" s="8">
        <v>0</v>
      </c>
      <c r="S13" s="8">
        <v>8</v>
      </c>
      <c r="T13" s="8">
        <v>0</v>
      </c>
      <c r="U13" s="8">
        <v>34</v>
      </c>
      <c r="V13" s="8">
        <v>0</v>
      </c>
      <c r="W13" s="8">
        <v>49</v>
      </c>
      <c r="X13" s="8">
        <v>0</v>
      </c>
      <c r="Y13" s="8">
        <v>0</v>
      </c>
      <c r="Z13" s="8">
        <v>34</v>
      </c>
      <c r="AA13" s="8">
        <v>0</v>
      </c>
      <c r="AB13" s="8">
        <v>0</v>
      </c>
      <c r="AC13" s="8">
        <v>30</v>
      </c>
      <c r="AD13" s="8">
        <v>0</v>
      </c>
      <c r="AE13" s="8">
        <v>4</v>
      </c>
      <c r="AF13" s="8">
        <v>0</v>
      </c>
      <c r="AG13" s="10">
        <f t="shared" si="0"/>
        <v>287</v>
      </c>
      <c r="AH13" s="10">
        <f>JUILLET!AH13+AG13</f>
        <v>738</v>
      </c>
    </row>
    <row r="14" ht="25.35" customHeight="1" spans="1:34">
      <c r="A14" s="7" t="s">
        <v>16</v>
      </c>
      <c r="B14" s="8">
        <v>6</v>
      </c>
      <c r="C14" s="8">
        <v>8</v>
      </c>
      <c r="D14" s="8">
        <v>0</v>
      </c>
      <c r="E14" s="8">
        <v>18</v>
      </c>
      <c r="F14" s="8">
        <v>0</v>
      </c>
      <c r="G14" s="8">
        <v>0</v>
      </c>
      <c r="H14" s="8">
        <v>35</v>
      </c>
      <c r="I14" s="8">
        <v>25</v>
      </c>
      <c r="J14" s="8">
        <v>0</v>
      </c>
      <c r="K14" s="8">
        <v>0</v>
      </c>
      <c r="L14" s="8">
        <v>54</v>
      </c>
      <c r="M14" s="8">
        <v>0</v>
      </c>
      <c r="N14" s="8">
        <v>2</v>
      </c>
      <c r="O14" s="8">
        <v>0</v>
      </c>
      <c r="P14" s="8">
        <v>4</v>
      </c>
      <c r="Q14" s="8">
        <v>16</v>
      </c>
      <c r="R14" s="8">
        <v>10</v>
      </c>
      <c r="S14" s="8">
        <v>0</v>
      </c>
      <c r="T14" s="8">
        <v>23</v>
      </c>
      <c r="U14" s="8">
        <v>77</v>
      </c>
      <c r="V14" s="8">
        <v>4</v>
      </c>
      <c r="W14" s="8">
        <v>14</v>
      </c>
      <c r="X14" s="8">
        <v>0</v>
      </c>
      <c r="Y14" s="8">
        <v>9</v>
      </c>
      <c r="Z14" s="8">
        <v>12</v>
      </c>
      <c r="AA14" s="8">
        <v>0</v>
      </c>
      <c r="AB14" s="8">
        <v>17</v>
      </c>
      <c r="AC14" s="8">
        <v>7</v>
      </c>
      <c r="AD14" s="8">
        <v>0</v>
      </c>
      <c r="AE14" s="8">
        <v>5</v>
      </c>
      <c r="AF14" s="8">
        <v>44</v>
      </c>
      <c r="AG14" s="10">
        <f t="shared" si="0"/>
        <v>390</v>
      </c>
      <c r="AH14" s="10">
        <f>JUILLET!AH14+AG14</f>
        <v>1144</v>
      </c>
    </row>
    <row r="15" ht="25.35" customHeight="1" spans="1:34">
      <c r="A15" s="7" t="s">
        <v>17</v>
      </c>
      <c r="B15" s="8">
        <v>45</v>
      </c>
      <c r="C15" s="8">
        <v>0</v>
      </c>
      <c r="D15" s="8">
        <v>0</v>
      </c>
      <c r="E15" s="8">
        <v>0</v>
      </c>
      <c r="F15" s="8">
        <v>58</v>
      </c>
      <c r="G15" s="8">
        <v>0</v>
      </c>
      <c r="H15" s="8">
        <v>0</v>
      </c>
      <c r="I15" s="8">
        <v>20</v>
      </c>
      <c r="J15" s="8">
        <v>0</v>
      </c>
      <c r="K15" s="8">
        <v>0</v>
      </c>
      <c r="L15" s="8">
        <v>42</v>
      </c>
      <c r="M15" s="8">
        <v>3</v>
      </c>
      <c r="N15" s="8">
        <v>0</v>
      </c>
      <c r="O15" s="8">
        <v>37</v>
      </c>
      <c r="P15" s="8">
        <v>24</v>
      </c>
      <c r="Q15" s="8">
        <v>0</v>
      </c>
      <c r="R15" s="8">
        <v>0</v>
      </c>
      <c r="S15" s="8">
        <v>0</v>
      </c>
      <c r="T15" s="8">
        <v>0</v>
      </c>
      <c r="U15" s="8">
        <v>36</v>
      </c>
      <c r="V15" s="8">
        <v>43</v>
      </c>
      <c r="W15" s="8">
        <v>0</v>
      </c>
      <c r="X15" s="8">
        <v>0</v>
      </c>
      <c r="Y15" s="8">
        <v>0</v>
      </c>
      <c r="Z15" s="8">
        <v>0</v>
      </c>
      <c r="AA15" s="8">
        <v>3</v>
      </c>
      <c r="AB15" s="8">
        <v>3</v>
      </c>
      <c r="AC15" s="8">
        <v>0</v>
      </c>
      <c r="AD15" s="8">
        <v>0</v>
      </c>
      <c r="AE15" s="8">
        <v>30</v>
      </c>
      <c r="AF15" s="8">
        <v>0</v>
      </c>
      <c r="AG15" s="10">
        <f t="shared" si="0"/>
        <v>344</v>
      </c>
      <c r="AH15" s="10">
        <f>JUILLET!AH15+AG15</f>
        <v>834</v>
      </c>
    </row>
    <row r="16" ht="25.35" customHeight="1" spans="1:34">
      <c r="A16" s="7" t="s">
        <v>18</v>
      </c>
      <c r="B16" s="8">
        <v>5</v>
      </c>
      <c r="C16" s="8">
        <v>0</v>
      </c>
      <c r="D16" s="8">
        <v>25</v>
      </c>
      <c r="E16" s="8">
        <v>11</v>
      </c>
      <c r="F16" s="8">
        <v>3</v>
      </c>
      <c r="G16" s="8">
        <v>3</v>
      </c>
      <c r="H16" s="8">
        <v>0</v>
      </c>
      <c r="I16" s="8">
        <v>50</v>
      </c>
      <c r="J16" s="8">
        <v>0</v>
      </c>
      <c r="K16" s="8">
        <v>3</v>
      </c>
      <c r="L16" s="8">
        <v>1</v>
      </c>
      <c r="M16" s="8">
        <v>16</v>
      </c>
      <c r="N16" s="8">
        <v>0</v>
      </c>
      <c r="O16" s="8">
        <v>6</v>
      </c>
      <c r="P16" s="8">
        <v>0</v>
      </c>
      <c r="Q16" s="8">
        <v>20</v>
      </c>
      <c r="R16" s="8">
        <v>8</v>
      </c>
      <c r="S16" s="8">
        <v>20</v>
      </c>
      <c r="T16" s="8">
        <v>1</v>
      </c>
      <c r="U16" s="8">
        <v>41</v>
      </c>
      <c r="V16" s="8">
        <v>0</v>
      </c>
      <c r="W16" s="8">
        <v>0</v>
      </c>
      <c r="X16" s="8">
        <v>0</v>
      </c>
      <c r="Y16" s="8">
        <v>2</v>
      </c>
      <c r="Z16" s="8">
        <v>0</v>
      </c>
      <c r="AA16" s="8">
        <v>0</v>
      </c>
      <c r="AB16" s="8">
        <v>7</v>
      </c>
      <c r="AC16" s="8">
        <v>0</v>
      </c>
      <c r="AD16" s="8">
        <v>10</v>
      </c>
      <c r="AE16" s="8">
        <v>21</v>
      </c>
      <c r="AF16" s="8">
        <v>0</v>
      </c>
      <c r="AG16" s="10">
        <f t="shared" si="0"/>
        <v>253</v>
      </c>
      <c r="AH16" s="10">
        <f>JUILLET!AH16+AG16</f>
        <v>930</v>
      </c>
    </row>
    <row r="17" ht="25.35" customHeight="1" spans="1:34">
      <c r="A17" s="7" t="s">
        <v>13</v>
      </c>
      <c r="B17" s="8">
        <v>37</v>
      </c>
      <c r="C17" s="8">
        <v>7</v>
      </c>
      <c r="D17" s="8">
        <v>26</v>
      </c>
      <c r="E17" s="8">
        <v>15</v>
      </c>
      <c r="F17" s="8">
        <v>0</v>
      </c>
      <c r="G17" s="8">
        <v>7</v>
      </c>
      <c r="H17" s="8">
        <v>6</v>
      </c>
      <c r="I17" s="8">
        <v>2</v>
      </c>
      <c r="J17" s="8">
        <v>0</v>
      </c>
      <c r="K17" s="8">
        <v>17</v>
      </c>
      <c r="L17" s="8">
        <v>61</v>
      </c>
      <c r="M17" s="8">
        <v>2</v>
      </c>
      <c r="N17" s="8">
        <v>0</v>
      </c>
      <c r="O17" s="8">
        <v>2</v>
      </c>
      <c r="P17" s="8">
        <v>0</v>
      </c>
      <c r="Q17" s="8">
        <v>35</v>
      </c>
      <c r="R17" s="8">
        <v>2</v>
      </c>
      <c r="S17" s="8">
        <v>0</v>
      </c>
      <c r="T17" s="8">
        <v>0</v>
      </c>
      <c r="U17" s="8">
        <v>50</v>
      </c>
      <c r="V17" s="8">
        <v>0</v>
      </c>
      <c r="W17" s="8">
        <v>5</v>
      </c>
      <c r="X17" s="8">
        <v>0</v>
      </c>
      <c r="Y17" s="8">
        <v>20</v>
      </c>
      <c r="Z17" s="8">
        <v>0</v>
      </c>
      <c r="AA17" s="8">
        <v>0</v>
      </c>
      <c r="AB17" s="8">
        <v>4</v>
      </c>
      <c r="AC17" s="8">
        <v>21</v>
      </c>
      <c r="AD17" s="8">
        <v>0</v>
      </c>
      <c r="AE17" s="8">
        <v>20</v>
      </c>
      <c r="AF17" s="8">
        <v>1</v>
      </c>
      <c r="AG17" s="10">
        <f t="shared" si="0"/>
        <v>340</v>
      </c>
      <c r="AH17" s="10">
        <f>JUILLET!AH17+AG17</f>
        <v>964</v>
      </c>
    </row>
  </sheetData>
  <mergeCells count="2">
    <mergeCell ref="A3:AH3"/>
    <mergeCell ref="A5:AH5"/>
  </mergeCells>
  <pageMargins left="0.31496062992126" right="0.31496062992126" top="0.748031496062992" bottom="0.748031496062992" header="0.31496062992126" footer="0.31496062992126"/>
  <pageSetup paperSize="9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49977111117893"/>
  </sheetPr>
  <dimension ref="A1:AH17"/>
  <sheetViews>
    <sheetView topLeftCell="A6" workbookViewId="0">
      <pane xSplit="1" ySplit="2" topLeftCell="B8" activePane="bottomRight" state="frozen"/>
      <selection/>
      <selection pane="topRight"/>
      <selection pane="bottomLeft"/>
      <selection pane="bottomRight" activeCell="AI11" sqref="AI11"/>
    </sheetView>
  </sheetViews>
  <sheetFormatPr defaultColWidth="11" defaultRowHeight="15"/>
  <cols>
    <col min="1" max="1" width="12" customWidth="1"/>
    <col min="2" max="32" width="3.71428571428571" customWidth="1"/>
    <col min="33" max="33" width="5.42857142857143" customWidth="1"/>
    <col min="34" max="34" width="9.99047619047619" customWidth="1"/>
  </cols>
  <sheetData>
    <row r="1" ht="17.25" spans="1:1">
      <c r="A1" s="1" t="s">
        <v>0</v>
      </c>
    </row>
    <row r="3" ht="15.75" spans="1:34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5" ht="15.75" spans="1:34">
      <c r="A5" s="3" t="s">
        <v>24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7" spans="1:34">
      <c r="A7" s="5" t="s">
        <v>3</v>
      </c>
      <c r="B7" s="6">
        <v>1</v>
      </c>
      <c r="C7" s="6">
        <v>2</v>
      </c>
      <c r="D7" s="6">
        <v>3</v>
      </c>
      <c r="E7" s="6">
        <v>4</v>
      </c>
      <c r="F7" s="6">
        <v>5</v>
      </c>
      <c r="G7" s="6">
        <v>6</v>
      </c>
      <c r="H7" s="6">
        <v>7</v>
      </c>
      <c r="I7" s="6">
        <v>8</v>
      </c>
      <c r="J7" s="6">
        <v>9</v>
      </c>
      <c r="K7" s="6">
        <v>10</v>
      </c>
      <c r="L7" s="6">
        <v>11</v>
      </c>
      <c r="M7" s="6">
        <v>12</v>
      </c>
      <c r="N7" s="6">
        <v>13</v>
      </c>
      <c r="O7" s="6">
        <v>14</v>
      </c>
      <c r="P7" s="6">
        <v>15</v>
      </c>
      <c r="Q7" s="6">
        <v>16</v>
      </c>
      <c r="R7" s="6">
        <v>17</v>
      </c>
      <c r="S7" s="6">
        <v>18</v>
      </c>
      <c r="T7" s="6">
        <v>19</v>
      </c>
      <c r="U7" s="6">
        <v>20</v>
      </c>
      <c r="V7" s="6">
        <v>21</v>
      </c>
      <c r="W7" s="6">
        <v>22</v>
      </c>
      <c r="X7" s="6">
        <v>23</v>
      </c>
      <c r="Y7" s="6">
        <v>24</v>
      </c>
      <c r="Z7" s="6">
        <v>25</v>
      </c>
      <c r="AA7" s="6">
        <v>26</v>
      </c>
      <c r="AB7" s="6">
        <v>27</v>
      </c>
      <c r="AC7" s="6">
        <v>28</v>
      </c>
      <c r="AD7" s="6">
        <v>29</v>
      </c>
      <c r="AE7" s="6">
        <v>30</v>
      </c>
      <c r="AF7" s="6">
        <v>31</v>
      </c>
      <c r="AG7" s="9" t="s">
        <v>4</v>
      </c>
      <c r="AH7" s="9" t="s">
        <v>15</v>
      </c>
    </row>
    <row r="8" ht="25.35" customHeight="1" spans="1:34">
      <c r="A8" s="7" t="s">
        <v>5</v>
      </c>
      <c r="B8" s="8">
        <v>0</v>
      </c>
      <c r="C8" s="8">
        <v>0</v>
      </c>
      <c r="D8" s="8">
        <v>0</v>
      </c>
      <c r="E8" s="8">
        <v>18</v>
      </c>
      <c r="F8" s="8">
        <v>0</v>
      </c>
      <c r="G8" s="8">
        <v>0</v>
      </c>
      <c r="H8" s="8">
        <v>0</v>
      </c>
      <c r="I8" s="8">
        <v>6</v>
      </c>
      <c r="J8" s="8">
        <v>4</v>
      </c>
      <c r="K8" s="8">
        <v>0</v>
      </c>
      <c r="L8" s="8">
        <v>9</v>
      </c>
      <c r="M8" s="8">
        <v>2</v>
      </c>
      <c r="N8" s="8">
        <v>8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12</v>
      </c>
      <c r="W8" s="8">
        <v>55</v>
      </c>
      <c r="X8" s="8">
        <v>0</v>
      </c>
      <c r="Y8" s="8">
        <v>0</v>
      </c>
      <c r="Z8" s="8">
        <v>0</v>
      </c>
      <c r="AA8" s="8">
        <v>0</v>
      </c>
      <c r="AB8" s="8">
        <v>2</v>
      </c>
      <c r="AC8" s="8">
        <v>15</v>
      </c>
      <c r="AD8" s="8">
        <v>0</v>
      </c>
      <c r="AE8" s="8">
        <v>0</v>
      </c>
      <c r="AF8" s="8"/>
      <c r="AG8" s="10">
        <f t="shared" ref="AG8:AG17" si="0">SUM(B8:AF8)</f>
        <v>131</v>
      </c>
      <c r="AH8" s="10">
        <f>AOÛT!AH8+AG8</f>
        <v>891</v>
      </c>
    </row>
    <row r="9" ht="25.35" customHeight="1" spans="1:34">
      <c r="A9" s="7" t="s">
        <v>6</v>
      </c>
      <c r="B9" s="8">
        <v>0</v>
      </c>
      <c r="C9" s="8">
        <v>0</v>
      </c>
      <c r="D9" s="8">
        <v>0</v>
      </c>
      <c r="E9" s="8">
        <v>32</v>
      </c>
      <c r="F9" s="8">
        <v>1</v>
      </c>
      <c r="G9" s="8">
        <v>21</v>
      </c>
      <c r="H9" s="8">
        <v>0</v>
      </c>
      <c r="I9" s="8">
        <v>3</v>
      </c>
      <c r="J9" s="8">
        <v>0</v>
      </c>
      <c r="K9" s="8">
        <v>0</v>
      </c>
      <c r="L9" s="8">
        <v>0</v>
      </c>
      <c r="M9" s="8">
        <v>0</v>
      </c>
      <c r="N9" s="8">
        <v>7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6</v>
      </c>
      <c r="U9" s="8">
        <v>0</v>
      </c>
      <c r="V9" s="8">
        <v>0</v>
      </c>
      <c r="W9" s="8">
        <v>25</v>
      </c>
      <c r="X9" s="8">
        <v>4</v>
      </c>
      <c r="Y9" s="8">
        <v>0</v>
      </c>
      <c r="Z9" s="8">
        <v>0</v>
      </c>
      <c r="AA9" s="8">
        <v>0</v>
      </c>
      <c r="AB9" s="8">
        <v>2</v>
      </c>
      <c r="AC9" s="8">
        <v>55</v>
      </c>
      <c r="AD9" s="8">
        <v>3</v>
      </c>
      <c r="AE9" s="8">
        <v>0</v>
      </c>
      <c r="AF9" s="8"/>
      <c r="AG9" s="10">
        <f t="shared" si="0"/>
        <v>159</v>
      </c>
      <c r="AH9" s="10">
        <f>AOÛT!AH9+AG9</f>
        <v>809</v>
      </c>
    </row>
    <row r="10" ht="25.35" customHeight="1" spans="1:34">
      <c r="A10" s="7" t="s">
        <v>7</v>
      </c>
      <c r="B10" s="8">
        <v>0</v>
      </c>
      <c r="C10" s="8">
        <v>15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7</v>
      </c>
      <c r="J10" s="8">
        <v>2</v>
      </c>
      <c r="K10" s="8">
        <v>0</v>
      </c>
      <c r="L10" s="8">
        <v>0</v>
      </c>
      <c r="M10" s="8">
        <v>0</v>
      </c>
      <c r="N10" s="8">
        <v>20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20</v>
      </c>
      <c r="V10" s="8">
        <v>0</v>
      </c>
      <c r="W10" s="8">
        <v>52</v>
      </c>
      <c r="X10" s="8">
        <v>0</v>
      </c>
      <c r="Y10" s="8">
        <v>0</v>
      </c>
      <c r="Z10" s="8">
        <v>0</v>
      </c>
      <c r="AA10" s="8">
        <v>0</v>
      </c>
      <c r="AB10" s="8">
        <v>6</v>
      </c>
      <c r="AC10" s="8">
        <v>71</v>
      </c>
      <c r="AD10" s="8">
        <v>0</v>
      </c>
      <c r="AE10" s="8">
        <v>0</v>
      </c>
      <c r="AF10" s="8"/>
      <c r="AG10" s="10">
        <f t="shared" si="0"/>
        <v>193</v>
      </c>
      <c r="AH10" s="10">
        <f>AOÛT!AH10+AG10</f>
        <v>1030</v>
      </c>
    </row>
    <row r="11" ht="25.35" customHeight="1" spans="1:34">
      <c r="A11" s="7" t="s">
        <v>8</v>
      </c>
      <c r="B11" s="8">
        <v>0</v>
      </c>
      <c r="C11" s="8">
        <v>0</v>
      </c>
      <c r="D11" s="8">
        <v>0</v>
      </c>
      <c r="E11" s="8">
        <v>4</v>
      </c>
      <c r="F11" s="8">
        <v>0</v>
      </c>
      <c r="G11" s="8">
        <v>0</v>
      </c>
      <c r="H11" s="8">
        <v>0</v>
      </c>
      <c r="I11" s="8">
        <v>52</v>
      </c>
      <c r="J11" s="8">
        <v>0</v>
      </c>
      <c r="K11" s="8">
        <v>0</v>
      </c>
      <c r="L11" s="8">
        <v>1</v>
      </c>
      <c r="M11" s="8">
        <v>0</v>
      </c>
      <c r="N11" s="8">
        <v>3</v>
      </c>
      <c r="O11" s="8">
        <v>0</v>
      </c>
      <c r="P11" s="8">
        <v>0</v>
      </c>
      <c r="Q11" s="8">
        <v>4</v>
      </c>
      <c r="R11" s="8">
        <v>0</v>
      </c>
      <c r="S11" s="8">
        <v>0</v>
      </c>
      <c r="T11" s="8">
        <v>0</v>
      </c>
      <c r="U11" s="8">
        <v>23</v>
      </c>
      <c r="V11" s="8">
        <v>1</v>
      </c>
      <c r="W11" s="8">
        <v>23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25</v>
      </c>
      <c r="AE11" s="8">
        <v>0</v>
      </c>
      <c r="AF11" s="8"/>
      <c r="AG11" s="10">
        <f t="shared" si="0"/>
        <v>136</v>
      </c>
      <c r="AH11" s="10">
        <f>AOÛT!AH11+AG11</f>
        <v>1007</v>
      </c>
    </row>
    <row r="12" ht="25.35" customHeight="1" spans="1:34">
      <c r="A12" s="7" t="s">
        <v>9</v>
      </c>
      <c r="B12" s="8">
        <v>0</v>
      </c>
      <c r="C12" s="8">
        <v>13</v>
      </c>
      <c r="D12" s="8">
        <v>0</v>
      </c>
      <c r="E12" s="8">
        <v>0</v>
      </c>
      <c r="F12" s="8">
        <v>2</v>
      </c>
      <c r="G12" s="8">
        <v>0</v>
      </c>
      <c r="H12" s="8">
        <v>0</v>
      </c>
      <c r="I12" s="8">
        <v>0</v>
      </c>
      <c r="J12" s="8">
        <v>63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42</v>
      </c>
      <c r="V12" s="8">
        <v>20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15</v>
      </c>
      <c r="AD12" s="8">
        <v>6</v>
      </c>
      <c r="AE12" s="8">
        <v>0</v>
      </c>
      <c r="AF12" s="8"/>
      <c r="AG12" s="10">
        <f t="shared" si="0"/>
        <v>161</v>
      </c>
      <c r="AH12" s="10">
        <f>AOÛT!AH12+AG12</f>
        <v>1136</v>
      </c>
    </row>
    <row r="13" ht="25.35" customHeight="1" spans="1:34">
      <c r="A13" s="7" t="s">
        <v>10</v>
      </c>
      <c r="B13" s="8">
        <v>7</v>
      </c>
      <c r="C13" s="8">
        <v>10</v>
      </c>
      <c r="D13" s="8">
        <v>0</v>
      </c>
      <c r="E13" s="8">
        <v>0</v>
      </c>
      <c r="F13" s="8">
        <v>26</v>
      </c>
      <c r="G13" s="8">
        <v>0</v>
      </c>
      <c r="H13" s="8">
        <v>0</v>
      </c>
      <c r="I13" s="8">
        <v>0</v>
      </c>
      <c r="J13" s="8">
        <v>20</v>
      </c>
      <c r="K13" s="8">
        <v>0</v>
      </c>
      <c r="L13" s="8">
        <v>0</v>
      </c>
      <c r="M13" s="8">
        <v>0</v>
      </c>
      <c r="N13" s="8">
        <v>6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1</v>
      </c>
      <c r="W13" s="8">
        <v>2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16</v>
      </c>
      <c r="AD13" s="8">
        <v>0</v>
      </c>
      <c r="AE13" s="8">
        <v>0</v>
      </c>
      <c r="AF13" s="8"/>
      <c r="AG13" s="10">
        <f t="shared" si="0"/>
        <v>88</v>
      </c>
      <c r="AH13" s="10">
        <f>AOÛT!AH13+AG13</f>
        <v>826</v>
      </c>
    </row>
    <row r="14" ht="25.35" customHeight="1" spans="1:34">
      <c r="A14" s="7" t="s">
        <v>16</v>
      </c>
      <c r="B14" s="8">
        <v>0</v>
      </c>
      <c r="C14" s="8">
        <v>13</v>
      </c>
      <c r="D14" s="8">
        <v>0</v>
      </c>
      <c r="E14" s="8">
        <v>5</v>
      </c>
      <c r="F14" s="8">
        <v>10</v>
      </c>
      <c r="G14" s="8">
        <v>0</v>
      </c>
      <c r="H14" s="8">
        <v>4</v>
      </c>
      <c r="I14" s="8">
        <v>0</v>
      </c>
      <c r="J14" s="8">
        <v>22</v>
      </c>
      <c r="K14" s="8">
        <v>0</v>
      </c>
      <c r="L14" s="8">
        <v>3</v>
      </c>
      <c r="M14" s="8">
        <v>0</v>
      </c>
      <c r="N14" s="8">
        <v>23</v>
      </c>
      <c r="O14" s="8">
        <v>3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34</v>
      </c>
      <c r="V14" s="8">
        <v>15</v>
      </c>
      <c r="W14" s="8">
        <v>17</v>
      </c>
      <c r="X14" s="8">
        <v>2</v>
      </c>
      <c r="Y14" s="8">
        <v>3</v>
      </c>
      <c r="Z14" s="8">
        <v>0</v>
      </c>
      <c r="AA14" s="8">
        <v>0</v>
      </c>
      <c r="AB14" s="8">
        <v>0</v>
      </c>
      <c r="AC14" s="8">
        <v>8</v>
      </c>
      <c r="AD14" s="8">
        <v>0</v>
      </c>
      <c r="AE14" s="8">
        <v>0</v>
      </c>
      <c r="AF14" s="8"/>
      <c r="AG14" s="10">
        <f t="shared" ref="AG14" si="1">SUM(B14:AF14)</f>
        <v>162</v>
      </c>
      <c r="AH14" s="10">
        <f>AOÛT!AH14+AG14</f>
        <v>1306</v>
      </c>
    </row>
    <row r="15" ht="25.35" customHeight="1" spans="1:34">
      <c r="A15" s="7" t="s">
        <v>17</v>
      </c>
      <c r="B15" s="8">
        <v>0</v>
      </c>
      <c r="C15" s="8">
        <v>6</v>
      </c>
      <c r="D15" s="8">
        <v>0</v>
      </c>
      <c r="E15" s="8">
        <v>0</v>
      </c>
      <c r="F15" s="8">
        <v>21</v>
      </c>
      <c r="G15" s="8">
        <v>27</v>
      </c>
      <c r="H15" s="8">
        <v>6</v>
      </c>
      <c r="I15" s="8">
        <v>0</v>
      </c>
      <c r="J15" s="8">
        <v>0</v>
      </c>
      <c r="K15" s="8">
        <v>0</v>
      </c>
      <c r="L15" s="8">
        <v>0</v>
      </c>
      <c r="M15" s="8">
        <v>10</v>
      </c>
      <c r="N15" s="8">
        <v>10</v>
      </c>
      <c r="O15" s="8">
        <v>26</v>
      </c>
      <c r="P15" s="8">
        <v>0</v>
      </c>
      <c r="Q15" s="8">
        <v>23</v>
      </c>
      <c r="R15" s="8">
        <v>0</v>
      </c>
      <c r="S15" s="8">
        <v>0</v>
      </c>
      <c r="T15" s="8">
        <v>19</v>
      </c>
      <c r="U15" s="8">
        <v>0</v>
      </c>
      <c r="V15" s="8">
        <v>0</v>
      </c>
      <c r="W15" s="8">
        <v>0</v>
      </c>
      <c r="X15" s="8">
        <v>0</v>
      </c>
      <c r="Y15" s="8">
        <v>2</v>
      </c>
      <c r="Z15" s="8">
        <v>0</v>
      </c>
      <c r="AA15" s="8">
        <v>0</v>
      </c>
      <c r="AB15" s="8">
        <v>14</v>
      </c>
      <c r="AC15" s="8">
        <v>57</v>
      </c>
      <c r="AD15" s="8">
        <v>0</v>
      </c>
      <c r="AE15" s="8">
        <v>0</v>
      </c>
      <c r="AF15" s="8"/>
      <c r="AG15" s="10">
        <f t="shared" si="0"/>
        <v>221</v>
      </c>
      <c r="AH15" s="10">
        <f>AOÛT!AH15+AG15</f>
        <v>1055</v>
      </c>
    </row>
    <row r="16" ht="25.35" customHeight="1" spans="1:34">
      <c r="A16" s="7" t="s">
        <v>18</v>
      </c>
      <c r="B16" s="8">
        <v>72</v>
      </c>
      <c r="C16" s="8">
        <v>0</v>
      </c>
      <c r="D16" s="8">
        <v>0</v>
      </c>
      <c r="E16" s="8">
        <v>16</v>
      </c>
      <c r="F16" s="8">
        <v>0</v>
      </c>
      <c r="G16" s="8">
        <v>2</v>
      </c>
      <c r="H16" s="8">
        <v>0</v>
      </c>
      <c r="I16" s="8">
        <v>0</v>
      </c>
      <c r="J16" s="8">
        <v>15</v>
      </c>
      <c r="K16" s="8">
        <v>5</v>
      </c>
      <c r="L16" s="8">
        <v>8</v>
      </c>
      <c r="M16" s="8">
        <v>0</v>
      </c>
      <c r="N16" s="8">
        <v>10</v>
      </c>
      <c r="O16" s="8">
        <v>2</v>
      </c>
      <c r="P16" s="8">
        <v>0</v>
      </c>
      <c r="Q16" s="8">
        <v>20</v>
      </c>
      <c r="R16" s="8">
        <v>0</v>
      </c>
      <c r="S16" s="8">
        <v>0</v>
      </c>
      <c r="T16" s="8">
        <v>0</v>
      </c>
      <c r="U16" s="8">
        <v>0</v>
      </c>
      <c r="V16" s="8">
        <v>11</v>
      </c>
      <c r="W16" s="8">
        <v>5</v>
      </c>
      <c r="X16" s="8">
        <v>2</v>
      </c>
      <c r="Y16" s="8">
        <v>7</v>
      </c>
      <c r="Z16" s="8">
        <v>3</v>
      </c>
      <c r="AA16" s="8">
        <v>0</v>
      </c>
      <c r="AB16" s="8">
        <v>11</v>
      </c>
      <c r="AC16" s="8">
        <v>47</v>
      </c>
      <c r="AD16" s="8">
        <v>0</v>
      </c>
      <c r="AE16" s="8">
        <v>6</v>
      </c>
      <c r="AF16" s="8"/>
      <c r="AG16" s="10">
        <f t="shared" si="0"/>
        <v>242</v>
      </c>
      <c r="AH16" s="10">
        <f>AOÛT!AH16+AG16</f>
        <v>1172</v>
      </c>
    </row>
    <row r="17" ht="25.35" customHeight="1" spans="1:34">
      <c r="A17" s="7" t="s">
        <v>13</v>
      </c>
      <c r="B17" s="8">
        <v>5</v>
      </c>
      <c r="C17" s="8">
        <v>0</v>
      </c>
      <c r="D17" s="8">
        <v>0</v>
      </c>
      <c r="E17" s="8">
        <v>4</v>
      </c>
      <c r="F17" s="8">
        <v>27</v>
      </c>
      <c r="G17" s="8">
        <v>4</v>
      </c>
      <c r="H17" s="8">
        <v>0</v>
      </c>
      <c r="I17" s="8">
        <v>41</v>
      </c>
      <c r="J17" s="8">
        <v>17</v>
      </c>
      <c r="K17" s="8">
        <v>35</v>
      </c>
      <c r="L17" s="8">
        <v>6</v>
      </c>
      <c r="M17" s="8">
        <v>57</v>
      </c>
      <c r="N17" s="8">
        <v>10</v>
      </c>
      <c r="O17" s="8">
        <v>0</v>
      </c>
      <c r="P17" s="8">
        <v>0</v>
      </c>
      <c r="Q17" s="8">
        <v>8</v>
      </c>
      <c r="R17" s="8">
        <v>0</v>
      </c>
      <c r="S17" s="8">
        <v>0</v>
      </c>
      <c r="T17" s="8">
        <v>0</v>
      </c>
      <c r="U17" s="8">
        <v>0</v>
      </c>
      <c r="V17" s="8">
        <v>70</v>
      </c>
      <c r="W17" s="8">
        <v>35</v>
      </c>
      <c r="X17" s="8">
        <v>0</v>
      </c>
      <c r="Y17" s="8">
        <v>7</v>
      </c>
      <c r="Z17" s="8">
        <v>5</v>
      </c>
      <c r="AA17" s="8">
        <v>0</v>
      </c>
      <c r="AB17" s="8">
        <v>0</v>
      </c>
      <c r="AC17" s="8">
        <v>22</v>
      </c>
      <c r="AD17" s="8">
        <v>1</v>
      </c>
      <c r="AE17" s="8">
        <v>3</v>
      </c>
      <c r="AF17" s="8"/>
      <c r="AG17" s="10">
        <f t="shared" si="0"/>
        <v>357</v>
      </c>
      <c r="AH17" s="10">
        <f>AOÛT!AH17+AG17</f>
        <v>1321</v>
      </c>
    </row>
  </sheetData>
  <mergeCells count="2">
    <mergeCell ref="A3:AH3"/>
    <mergeCell ref="A5:AH5"/>
  </mergeCells>
  <pageMargins left="0.31496062992126" right="0.31496062992126" top="0.748031496062992" bottom="0.748031496062992" header="0.31496062992126" footer="0.31496062992126"/>
  <pageSetup paperSize="9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2" tint="-0.749992370372631"/>
  </sheetPr>
  <dimension ref="A1:AH18"/>
  <sheetViews>
    <sheetView zoomScale="110" zoomScaleNormal="110" topLeftCell="A5" workbookViewId="0">
      <selection activeCell="AJ13" sqref="AJ13"/>
    </sheetView>
  </sheetViews>
  <sheetFormatPr defaultColWidth="11" defaultRowHeight="15"/>
  <cols>
    <col min="1" max="1" width="12" customWidth="1"/>
    <col min="2" max="32" width="3.71428571428571" customWidth="1"/>
    <col min="33" max="33" width="8.28571428571429" customWidth="1"/>
    <col min="34" max="34" width="7.42857142857143" customWidth="1"/>
  </cols>
  <sheetData>
    <row r="1" ht="17.25" spans="1:1">
      <c r="A1" s="1" t="s">
        <v>0</v>
      </c>
    </row>
    <row r="3" ht="15.75" spans="1:34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5" ht="15.75" spans="1:34">
      <c r="A5" s="3" t="s">
        <v>25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7" spans="1:34">
      <c r="A7" s="5" t="s">
        <v>3</v>
      </c>
      <c r="B7" s="6">
        <v>1</v>
      </c>
      <c r="C7" s="6">
        <v>2</v>
      </c>
      <c r="D7" s="6">
        <v>3</v>
      </c>
      <c r="E7" s="6">
        <v>4</v>
      </c>
      <c r="F7" s="6">
        <v>5</v>
      </c>
      <c r="G7" s="6">
        <v>6</v>
      </c>
      <c r="H7" s="6">
        <v>7</v>
      </c>
      <c r="I7" s="6">
        <v>8</v>
      </c>
      <c r="J7" s="6">
        <v>9</v>
      </c>
      <c r="K7" s="6">
        <v>10</v>
      </c>
      <c r="L7" s="6">
        <v>11</v>
      </c>
      <c r="M7" s="6">
        <v>12</v>
      </c>
      <c r="N7" s="6">
        <v>13</v>
      </c>
      <c r="O7" s="6">
        <v>14</v>
      </c>
      <c r="P7" s="6">
        <v>15</v>
      </c>
      <c r="Q7" s="6">
        <v>16</v>
      </c>
      <c r="R7" s="6">
        <v>17</v>
      </c>
      <c r="S7" s="6">
        <v>18</v>
      </c>
      <c r="T7" s="6">
        <v>19</v>
      </c>
      <c r="U7" s="6">
        <v>20</v>
      </c>
      <c r="V7" s="6">
        <v>21</v>
      </c>
      <c r="W7" s="6">
        <v>22</v>
      </c>
      <c r="X7" s="6">
        <v>23</v>
      </c>
      <c r="Y7" s="6">
        <v>24</v>
      </c>
      <c r="Z7" s="6">
        <v>25</v>
      </c>
      <c r="AA7" s="6">
        <v>26</v>
      </c>
      <c r="AB7" s="6">
        <v>27</v>
      </c>
      <c r="AC7" s="6">
        <v>28</v>
      </c>
      <c r="AD7" s="6">
        <v>29</v>
      </c>
      <c r="AE7" s="6">
        <v>30</v>
      </c>
      <c r="AF7" s="6">
        <v>31</v>
      </c>
      <c r="AG7" s="9" t="s">
        <v>4</v>
      </c>
      <c r="AH7" s="9" t="s">
        <v>15</v>
      </c>
    </row>
    <row r="8" ht="25.35" customHeight="1" spans="1:34">
      <c r="A8" s="7" t="s">
        <v>5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3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14</v>
      </c>
      <c r="V8" s="8">
        <v>0</v>
      </c>
      <c r="W8" s="8">
        <v>10</v>
      </c>
      <c r="X8" s="8">
        <v>0</v>
      </c>
      <c r="Y8" s="8">
        <v>0</v>
      </c>
      <c r="Z8" s="8">
        <v>0</v>
      </c>
      <c r="AA8" s="8">
        <v>0</v>
      </c>
      <c r="AB8" s="8"/>
      <c r="AC8" s="8"/>
      <c r="AD8" s="8"/>
      <c r="AE8" s="8"/>
      <c r="AF8" s="8"/>
      <c r="AG8" s="10">
        <f>SUM(B8:AF8)</f>
        <v>27</v>
      </c>
      <c r="AH8" s="10">
        <f>SEPTEMBRE!AH8+AG8</f>
        <v>918</v>
      </c>
    </row>
    <row r="9" ht="25.35" customHeight="1" spans="1:34">
      <c r="A9" s="7" t="s">
        <v>6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1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2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/>
      <c r="AC9" s="8"/>
      <c r="AD9" s="8"/>
      <c r="AE9" s="8"/>
      <c r="AF9" s="8"/>
      <c r="AG9" s="10">
        <f t="shared" ref="AG9:AG17" si="0">SUM(B9:AF9)</f>
        <v>3</v>
      </c>
      <c r="AH9" s="10">
        <f>SEPTEMBRE!AH9+AG9</f>
        <v>812</v>
      </c>
    </row>
    <row r="10" ht="25.35" customHeight="1" spans="1:34">
      <c r="A10" s="7" t="s">
        <v>7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7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10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/>
      <c r="AC10" s="8"/>
      <c r="AD10" s="8"/>
      <c r="AE10" s="8"/>
      <c r="AF10" s="8"/>
      <c r="AG10" s="10">
        <f t="shared" si="0"/>
        <v>17</v>
      </c>
      <c r="AH10" s="10">
        <f>SEPTEMBRE!AH10+AG10</f>
        <v>1047</v>
      </c>
    </row>
    <row r="11" ht="25.35" customHeight="1" spans="1:34">
      <c r="A11" s="7" t="s">
        <v>8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30</v>
      </c>
      <c r="R11" s="8">
        <v>2</v>
      </c>
      <c r="S11" s="8">
        <v>0</v>
      </c>
      <c r="T11" s="8">
        <v>4</v>
      </c>
      <c r="U11" s="8">
        <v>22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12</v>
      </c>
      <c r="AB11" s="8"/>
      <c r="AC11" s="8"/>
      <c r="AD11" s="8"/>
      <c r="AE11" s="8"/>
      <c r="AF11" s="8"/>
      <c r="AG11" s="10">
        <f t="shared" si="0"/>
        <v>70</v>
      </c>
      <c r="AH11" s="10">
        <f>SEPTEMBRE!AH11+AG11</f>
        <v>1077</v>
      </c>
    </row>
    <row r="12" ht="25.35" customHeight="1" spans="1:34">
      <c r="A12" s="7" t="s">
        <v>9</v>
      </c>
      <c r="B12" s="8">
        <v>0</v>
      </c>
      <c r="C12" s="8">
        <v>0</v>
      </c>
      <c r="D12" s="8">
        <v>2</v>
      </c>
      <c r="E12" s="8">
        <v>8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20</v>
      </c>
      <c r="R12" s="8">
        <v>0</v>
      </c>
      <c r="S12" s="8">
        <v>0</v>
      </c>
      <c r="T12" s="8">
        <v>0</v>
      </c>
      <c r="U12" s="8">
        <v>12</v>
      </c>
      <c r="V12" s="8">
        <v>0</v>
      </c>
      <c r="W12" s="8">
        <v>7</v>
      </c>
      <c r="X12" s="8">
        <v>0</v>
      </c>
      <c r="Y12" s="8">
        <v>0</v>
      </c>
      <c r="Z12" s="8">
        <v>0</v>
      </c>
      <c r="AA12" s="8">
        <v>0</v>
      </c>
      <c r="AB12" s="8"/>
      <c r="AC12" s="8"/>
      <c r="AD12" s="8"/>
      <c r="AE12" s="8"/>
      <c r="AF12" s="8"/>
      <c r="AG12" s="10">
        <f t="shared" si="0"/>
        <v>49</v>
      </c>
      <c r="AH12" s="10">
        <f>SEPTEMBRE!AH12+AG12</f>
        <v>1185</v>
      </c>
    </row>
    <row r="13" ht="25.35" customHeight="1" spans="1:34">
      <c r="A13" s="7" t="s">
        <v>10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52</v>
      </c>
      <c r="R13" s="8">
        <v>0</v>
      </c>
      <c r="S13" s="8">
        <v>0</v>
      </c>
      <c r="T13" s="8">
        <v>0</v>
      </c>
      <c r="U13" s="8">
        <v>20</v>
      </c>
      <c r="V13" s="8">
        <v>0</v>
      </c>
      <c r="W13" s="8">
        <v>0</v>
      </c>
      <c r="X13" s="8">
        <v>24</v>
      </c>
      <c r="Y13" s="8">
        <v>0</v>
      </c>
      <c r="Z13" s="8">
        <v>0</v>
      </c>
      <c r="AA13" s="8">
        <v>5</v>
      </c>
      <c r="AB13" s="8"/>
      <c r="AC13" s="8"/>
      <c r="AD13" s="8"/>
      <c r="AE13" s="8"/>
      <c r="AF13" s="8"/>
      <c r="AG13" s="10">
        <f t="shared" si="0"/>
        <v>101</v>
      </c>
      <c r="AH13" s="10">
        <f>SEPTEMBRE!AH13+AG13</f>
        <v>927</v>
      </c>
    </row>
    <row r="14" ht="25.35" customHeight="1" spans="1:34">
      <c r="A14" s="7" t="s">
        <v>16</v>
      </c>
      <c r="B14" s="8">
        <v>0</v>
      </c>
      <c r="C14" s="8">
        <v>0</v>
      </c>
      <c r="D14" s="8">
        <v>0</v>
      </c>
      <c r="E14" s="8">
        <v>3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3</v>
      </c>
      <c r="Q14" s="8">
        <v>11</v>
      </c>
      <c r="R14" s="8">
        <v>0</v>
      </c>
      <c r="S14" s="8">
        <v>0</v>
      </c>
      <c r="T14" s="8">
        <v>0</v>
      </c>
      <c r="U14" s="8">
        <v>2</v>
      </c>
      <c r="V14" s="8">
        <v>0</v>
      </c>
      <c r="W14" s="8">
        <v>11</v>
      </c>
      <c r="X14" s="8">
        <v>12</v>
      </c>
      <c r="Y14" s="8">
        <v>0</v>
      </c>
      <c r="Z14" s="8">
        <v>0</v>
      </c>
      <c r="AA14" s="8">
        <v>22</v>
      </c>
      <c r="AB14" s="8"/>
      <c r="AC14" s="8"/>
      <c r="AD14" s="8"/>
      <c r="AE14" s="8"/>
      <c r="AF14" s="8"/>
      <c r="AG14" s="10">
        <f t="shared" ref="AG14" si="1">SUM(B14:AF14)</f>
        <v>64</v>
      </c>
      <c r="AH14" s="10">
        <f>SEPTEMBRE!AH14+AG14</f>
        <v>1370</v>
      </c>
    </row>
    <row r="15" ht="25.35" customHeight="1" spans="1:34">
      <c r="A15" s="7" t="s">
        <v>17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5</v>
      </c>
      <c r="Q15" s="8">
        <v>3</v>
      </c>
      <c r="R15" s="8">
        <v>0</v>
      </c>
      <c r="S15" s="8">
        <v>0</v>
      </c>
      <c r="T15" s="8">
        <v>32</v>
      </c>
      <c r="U15" s="8">
        <v>3</v>
      </c>
      <c r="V15" s="8">
        <v>0</v>
      </c>
      <c r="W15" s="8">
        <v>0</v>
      </c>
      <c r="X15" s="8">
        <v>0</v>
      </c>
      <c r="Y15" s="8">
        <v>11</v>
      </c>
      <c r="Z15" s="8">
        <v>0</v>
      </c>
      <c r="AA15" s="8">
        <v>13</v>
      </c>
      <c r="AB15" s="8"/>
      <c r="AC15" s="8"/>
      <c r="AD15" s="8"/>
      <c r="AE15" s="8"/>
      <c r="AF15" s="8"/>
      <c r="AG15" s="10">
        <f t="shared" si="0"/>
        <v>67</v>
      </c>
      <c r="AH15" s="10">
        <f>SEPTEMBRE!AH15+AG15</f>
        <v>1122</v>
      </c>
    </row>
    <row r="16" ht="25.35" customHeight="1" spans="1:34">
      <c r="A16" s="7" t="s">
        <v>18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27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19</v>
      </c>
      <c r="U16" s="8">
        <v>2</v>
      </c>
      <c r="V16" s="8">
        <v>0</v>
      </c>
      <c r="W16" s="8">
        <v>12</v>
      </c>
      <c r="X16" s="8">
        <v>2</v>
      </c>
      <c r="Y16" s="8">
        <v>0</v>
      </c>
      <c r="Z16" s="8">
        <v>0</v>
      </c>
      <c r="AA16" s="8">
        <v>6</v>
      </c>
      <c r="AB16" s="8"/>
      <c r="AC16" s="8"/>
      <c r="AD16" s="8"/>
      <c r="AE16" s="8"/>
      <c r="AF16" s="8"/>
      <c r="AG16" s="10">
        <f t="shared" si="0"/>
        <v>68</v>
      </c>
      <c r="AH16" s="10">
        <f>SEPTEMBRE!AH16+AG16</f>
        <v>1240</v>
      </c>
    </row>
    <row r="17" ht="25.35" customHeight="1" spans="1:34">
      <c r="A17" s="7" t="s">
        <v>13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4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42</v>
      </c>
      <c r="R17" s="8">
        <v>0</v>
      </c>
      <c r="S17" s="8">
        <v>0</v>
      </c>
      <c r="T17" s="8">
        <v>13</v>
      </c>
      <c r="U17" s="8">
        <v>4</v>
      </c>
      <c r="V17" s="8">
        <v>0</v>
      </c>
      <c r="W17" s="8">
        <v>0</v>
      </c>
      <c r="X17" s="8">
        <v>7</v>
      </c>
      <c r="Y17" s="8">
        <v>0</v>
      </c>
      <c r="Z17" s="8">
        <v>0</v>
      </c>
      <c r="AA17" s="8">
        <v>2</v>
      </c>
      <c r="AB17" s="8"/>
      <c r="AC17" s="8"/>
      <c r="AD17" s="8"/>
      <c r="AE17" s="8"/>
      <c r="AF17" s="8"/>
      <c r="AG17" s="10">
        <f t="shared" si="0"/>
        <v>72</v>
      </c>
      <c r="AH17" s="10">
        <f>SEPTEMBRE!AH17+AG17</f>
        <v>1393</v>
      </c>
    </row>
    <row r="18" spans="2:33">
      <c r="B18" s="11"/>
      <c r="AG18" s="12"/>
    </row>
  </sheetData>
  <mergeCells count="2">
    <mergeCell ref="A3:AH3"/>
    <mergeCell ref="A5:AH5"/>
  </mergeCells>
  <pageMargins left="0.31496062992126" right="0.31496062992126" top="0.748031496062992" bottom="0.748031496062992" header="0.31496062992126" footer="0.31496062992126"/>
  <pageSetup paperSize="9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H17"/>
  <sheetViews>
    <sheetView topLeftCell="A2" workbookViewId="0">
      <selection activeCell="A5" sqref="A5:AH5"/>
    </sheetView>
  </sheetViews>
  <sheetFormatPr defaultColWidth="11" defaultRowHeight="15"/>
  <cols>
    <col min="1" max="1" width="12" customWidth="1"/>
    <col min="2" max="32" width="3.71428571428571" customWidth="1"/>
    <col min="33" max="33" width="5.71428571428571" customWidth="1"/>
    <col min="34" max="34" width="6.71428571428571" customWidth="1"/>
  </cols>
  <sheetData>
    <row r="1" ht="17.25" spans="1:1">
      <c r="A1" s="1" t="s">
        <v>0</v>
      </c>
    </row>
    <row r="3" ht="15.75" spans="1:34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5" ht="15.75" spans="1:34">
      <c r="A5" s="3" t="s">
        <v>26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7" spans="1:34">
      <c r="A7" s="5" t="s">
        <v>3</v>
      </c>
      <c r="B7" s="6">
        <v>1</v>
      </c>
      <c r="C7" s="6">
        <v>2</v>
      </c>
      <c r="D7" s="6">
        <v>3</v>
      </c>
      <c r="E7" s="6">
        <v>4</v>
      </c>
      <c r="F7" s="6">
        <v>5</v>
      </c>
      <c r="G7" s="6">
        <v>6</v>
      </c>
      <c r="H7" s="6">
        <v>7</v>
      </c>
      <c r="I7" s="6">
        <v>8</v>
      </c>
      <c r="J7" s="6">
        <v>9</v>
      </c>
      <c r="K7" s="6">
        <v>10</v>
      </c>
      <c r="L7" s="6">
        <v>11</v>
      </c>
      <c r="M7" s="6">
        <v>12</v>
      </c>
      <c r="N7" s="6">
        <v>13</v>
      </c>
      <c r="O7" s="6">
        <v>14</v>
      </c>
      <c r="P7" s="6">
        <v>15</v>
      </c>
      <c r="Q7" s="6">
        <v>16</v>
      </c>
      <c r="R7" s="6">
        <v>17</v>
      </c>
      <c r="S7" s="6">
        <v>18</v>
      </c>
      <c r="T7" s="6">
        <v>19</v>
      </c>
      <c r="U7" s="6">
        <v>20</v>
      </c>
      <c r="V7" s="6">
        <v>21</v>
      </c>
      <c r="W7" s="6">
        <v>22</v>
      </c>
      <c r="X7" s="6">
        <v>23</v>
      </c>
      <c r="Y7" s="6">
        <v>24</v>
      </c>
      <c r="Z7" s="6">
        <v>25</v>
      </c>
      <c r="AA7" s="6">
        <v>26</v>
      </c>
      <c r="AB7" s="6">
        <v>27</v>
      </c>
      <c r="AC7" s="6">
        <v>28</v>
      </c>
      <c r="AD7" s="6">
        <v>29</v>
      </c>
      <c r="AE7" s="6">
        <v>30</v>
      </c>
      <c r="AF7" s="6">
        <v>31</v>
      </c>
      <c r="AG7" s="9" t="s">
        <v>4</v>
      </c>
      <c r="AH7" s="9" t="s">
        <v>15</v>
      </c>
    </row>
    <row r="8" ht="25.35" customHeight="1" spans="1:34">
      <c r="A8" s="7" t="s">
        <v>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10">
        <f>SUM(B8:AF8)</f>
        <v>0</v>
      </c>
      <c r="AH8" s="10">
        <f>OCTOBRE!AH8+AG8</f>
        <v>918</v>
      </c>
    </row>
    <row r="9" ht="25.35" customHeight="1" spans="1:34">
      <c r="A9" s="7" t="s">
        <v>6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10">
        <f t="shared" ref="AG9:AG17" si="0">SUM(B9:AF9)</f>
        <v>0</v>
      </c>
      <c r="AH9" s="10">
        <f>OCTOBRE!AH9+AG9</f>
        <v>812</v>
      </c>
    </row>
    <row r="10" ht="25.35" customHeight="1" spans="1:34">
      <c r="A10" s="7" t="s">
        <v>7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10">
        <f t="shared" si="0"/>
        <v>0</v>
      </c>
      <c r="AH10" s="10">
        <f>OCTOBRE!AH10+AG10</f>
        <v>1047</v>
      </c>
    </row>
    <row r="11" ht="25.35" customHeight="1" spans="1:34">
      <c r="A11" s="7" t="s">
        <v>8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10">
        <f t="shared" si="0"/>
        <v>0</v>
      </c>
      <c r="AH11" s="10">
        <f>OCTOBRE!AH11+AG11</f>
        <v>1077</v>
      </c>
    </row>
    <row r="12" ht="25.35" customHeight="1" spans="1:34">
      <c r="A12" s="7" t="s">
        <v>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10">
        <f t="shared" si="0"/>
        <v>0</v>
      </c>
      <c r="AH12" s="10">
        <f>OCTOBRE!AH12+AG12</f>
        <v>1185</v>
      </c>
    </row>
    <row r="13" ht="25.35" customHeight="1" spans="1:34">
      <c r="A13" s="7" t="s">
        <v>10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10">
        <f t="shared" si="0"/>
        <v>0</v>
      </c>
      <c r="AH13" s="10">
        <f>OCTOBRE!AH13+AG13</f>
        <v>927</v>
      </c>
    </row>
    <row r="14" ht="25.35" customHeight="1" spans="1:34">
      <c r="A14" s="7" t="s">
        <v>16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10">
        <f t="shared" ref="AG14" si="1">SUM(B14:AF14)</f>
        <v>0</v>
      </c>
      <c r="AH14" s="10">
        <f>OCTOBRE!AH14+AG14</f>
        <v>1370</v>
      </c>
    </row>
    <row r="15" ht="25.35" customHeight="1" spans="1:34">
      <c r="A15" s="7" t="s">
        <v>17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10">
        <f t="shared" si="0"/>
        <v>0</v>
      </c>
      <c r="AH15" s="10">
        <f>OCTOBRE!AH15+AG15</f>
        <v>1122</v>
      </c>
    </row>
    <row r="16" ht="25.35" customHeight="1" spans="1:34">
      <c r="A16" s="7" t="s">
        <v>18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10">
        <f t="shared" si="0"/>
        <v>0</v>
      </c>
      <c r="AH16" s="10">
        <f>OCTOBRE!AH16+AG16</f>
        <v>1240</v>
      </c>
    </row>
    <row r="17" ht="25.35" customHeight="1" spans="1:34">
      <c r="A17" s="7" t="s">
        <v>13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10">
        <f t="shared" si="0"/>
        <v>0</v>
      </c>
      <c r="AH17" s="10">
        <f>OCTOBRE!AH17+AG17</f>
        <v>1393</v>
      </c>
    </row>
  </sheetData>
  <mergeCells count="2">
    <mergeCell ref="A3:AH3"/>
    <mergeCell ref="A5:AH5"/>
  </mergeCells>
  <pageMargins left="0.31496062992126" right="0.31496062992126" top="0.748031496062992" bottom="0.748031496062992" header="0.31496062992126" footer="0.31496062992126"/>
  <pageSetup paperSize="9" orientation="landscape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IMPRIME</vt:lpstr>
      <vt:lpstr>FEVRIER</vt:lpstr>
      <vt:lpstr>MARS</vt:lpstr>
      <vt:lpstr>AVRIL</vt:lpstr>
      <vt:lpstr>MAI</vt:lpstr>
      <vt:lpstr>JUIN</vt:lpstr>
      <vt:lpstr>JUILLET</vt:lpstr>
      <vt:lpstr>AOÛT</vt:lpstr>
      <vt:lpstr>SEPTEMBRE</vt:lpstr>
      <vt:lpstr>OCTOBRE</vt:lpstr>
      <vt:lpstr>NOVEMBRE</vt:lpstr>
      <vt:lpstr>Feuille12</vt:lpstr>
      <vt:lpstr>Feuille13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Ahidjo_Ahmadou</cp:lastModifiedBy>
  <dcterms:created xsi:type="dcterms:W3CDTF">2006-09-12T15:06:00Z</dcterms:created>
  <dcterms:modified xsi:type="dcterms:W3CDTF">2021-11-04T09:32:36Z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22A95B947B724672AF24C1980DB371DA</vt:lpwstr>
  </property>
  <property fmtid="{D5CDD505-2E9C-101B-9397-08002B2CF9AE}" pid="3" name="KSOProductBuildVer">
    <vt:lpwstr>1036-11.2.0.10351</vt:lpwstr>
  </property>
</Properties>
</file>