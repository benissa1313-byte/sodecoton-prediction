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965" firstSheet="1" activeTab="2"/>
  </bookViews>
  <sheets>
    <sheet name="IMPRIME" sheetId="1" state="hidden" r:id="rId1"/>
    <sheet name="FEVRIER" sheetId="13" r:id="rId2"/>
    <sheet name="MARS" sheetId="14" r:id="rId3"/>
    <sheet name="AVRIL" sheetId="4" r:id="rId4"/>
    <sheet name="MAI" sheetId="6" r:id="rId5"/>
    <sheet name="JUIN" sheetId="7" r:id="rId6"/>
    <sheet name="JUILLET" sheetId="8" r:id="rId7"/>
    <sheet name="AOÛT" sheetId="9" r:id="rId8"/>
    <sheet name="SEPTEMBRE" sheetId="10" r:id="rId9"/>
    <sheet name="OCTOBRE" sheetId="11" r:id="rId10"/>
    <sheet name="NOVEMBRE" sheetId="12" r:id="rId11"/>
    <sheet name="Feuil3" sheetId="17" r:id="rId12"/>
    <sheet name="Feuil1" sheetId="18" r:id="rId13"/>
  </sheets>
  <definedNames>
    <definedName name="_xlnm.Print_Area" localSheetId="7">AOÛT!$A$1:$AH$17</definedName>
    <definedName name="_xlnm.Print_Area" localSheetId="3">AVRIL!$A$1:$AH$17</definedName>
    <definedName name="_xlnm.Print_Area" localSheetId="1">FEVRIER!$A$1:$AH$17</definedName>
    <definedName name="_xlnm.Print_Area" localSheetId="0">IMPRIME!$A$1:$AG$16</definedName>
    <definedName name="_xlnm.Print_Area" localSheetId="6">JUILLET!$A$1:$AH$17</definedName>
    <definedName name="_xlnm.Print_Area" localSheetId="5">JUIN!$A$1:$AH$17</definedName>
    <definedName name="_xlnm.Print_Area" localSheetId="4">MAI!$A$1:$AH$17</definedName>
    <definedName name="_xlnm.Print_Area" localSheetId="2">MARS!$A$1:$AH$17</definedName>
    <definedName name="_xlnm.Print_Area" localSheetId="10">NOVEMBRE!$A$1:$AH$17</definedName>
    <definedName name="_xlnm.Print_Area" localSheetId="9">OCTOBRE!$A$1:$AH$17</definedName>
    <definedName name="_xlnm.Print_Area" localSheetId="8">SEPTEMBRE!$A$1:$AH$17</definedName>
  </definedNames>
  <calcPr calcId="144525"/>
</workbook>
</file>

<file path=xl/sharedStrings.xml><?xml version="1.0" encoding="utf-8"?>
<sst xmlns="http://schemas.openxmlformats.org/spreadsheetml/2006/main" count="384" uniqueCount="72">
  <si>
    <t>SODECOTON</t>
  </si>
  <si>
    <t>PLUVIOMETRIE JOURNALIERE ET MENSUELLE</t>
  </si>
  <si>
    <r>
      <rPr>
        <b/>
        <sz val="12"/>
        <color theme="1"/>
        <rFont val="Calibri"/>
        <charset val="134"/>
        <scheme val="minor"/>
      </rPr>
      <t>MOIS DE</t>
    </r>
    <r>
      <rPr>
        <b/>
        <sz val="11"/>
        <color theme="1"/>
        <rFont val="Calibri"/>
        <charset val="134"/>
        <scheme val="minor"/>
      </rPr>
      <t xml:space="preserve"> </t>
    </r>
    <r>
      <rPr>
        <sz val="11"/>
        <color theme="1"/>
        <rFont val="Calibri"/>
        <charset val="134"/>
        <scheme val="minor"/>
      </rPr>
      <t>:_________________________________________</t>
    </r>
  </si>
  <si>
    <t>STATION</t>
  </si>
  <si>
    <t>TOTAUX</t>
  </si>
  <si>
    <t>MAROUA</t>
  </si>
  <si>
    <t>KAELE</t>
  </si>
  <si>
    <t>TCHATIBALI</t>
  </si>
  <si>
    <t>GUIDER</t>
  </si>
  <si>
    <t>GAROUA</t>
  </si>
  <si>
    <t>NGONG</t>
  </si>
  <si>
    <t>MAYO-GALKE</t>
  </si>
  <si>
    <t>TOUBOURO</t>
  </si>
  <si>
    <t>HOME</t>
  </si>
  <si>
    <t>MOIS DE FEVRIER 2020</t>
  </si>
  <si>
    <t>CUMUL</t>
  </si>
  <si>
    <t>POLI</t>
  </si>
  <si>
    <t>M-GALKE</t>
  </si>
  <si>
    <t>TOUBORO</t>
  </si>
  <si>
    <t>MOIS DE MARS 2020</t>
  </si>
  <si>
    <t>MOIS D'AVRIL 2020</t>
  </si>
  <si>
    <t>MOIS DE MAI 2020</t>
  </si>
  <si>
    <t>MOIS DE JUIN 2020</t>
  </si>
  <si>
    <t>MOIS DE JUILLET 2020</t>
  </si>
  <si>
    <t xml:space="preserve"> </t>
  </si>
  <si>
    <t xml:space="preserve">  </t>
  </si>
  <si>
    <t>MOIS D'AOÛT 2020</t>
  </si>
  <si>
    <t>MOIS DE SEPTEMBRE 2020</t>
  </si>
  <si>
    <t>MOIS D'OCTOBRE 2020</t>
  </si>
  <si>
    <t>MOIS DE NOVEMBRE 2020</t>
  </si>
  <si>
    <t>Variables/Station</t>
  </si>
  <si>
    <t>Maroua</t>
  </si>
  <si>
    <t>Kaélé</t>
  </si>
  <si>
    <t>Tchatibali</t>
  </si>
  <si>
    <t>Guider</t>
  </si>
  <si>
    <t>Garoua</t>
  </si>
  <si>
    <t>Ngong</t>
  </si>
  <si>
    <t>Poli</t>
  </si>
  <si>
    <t>Mayo-Galké</t>
  </si>
  <si>
    <t>Touboro</t>
  </si>
  <si>
    <t>Homé</t>
  </si>
  <si>
    <t>P1</t>
  </si>
  <si>
    <t>P2</t>
  </si>
  <si>
    <t>P3</t>
  </si>
  <si>
    <t>P4</t>
  </si>
  <si>
    <t>p</t>
  </si>
  <si>
    <t>P1: entre 1 et 10 mm</t>
  </si>
  <si>
    <t>P2: entre 10 et 30 mm</t>
  </si>
  <si>
    <t>P2: entre 30 et 50 mm</t>
  </si>
  <si>
    <t>P2: &gt; 50 mm</t>
  </si>
  <si>
    <t>Mois/Station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</si>
  <si>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</si>
  <si>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</si>
  <si>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</si>
  <si>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</si>
  <si>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</si>
  <si>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</si>
  <si>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</si>
  <si>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</si>
  <si>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</si>
  <si>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</si>
  <si>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TOTAL 2019</t>
  </si>
  <si>
    <t>Moyenne</t>
  </si>
  <si>
    <t>Ecart-type</t>
  </si>
  <si>
    <t>TOTAL 2020</t>
  </si>
  <si>
    <t>Différence</t>
  </si>
  <si>
    <t>D1</t>
  </si>
  <si>
    <t>D2</t>
  </si>
  <si>
    <t>D3</t>
  </si>
  <si>
    <t>D</t>
  </si>
  <si>
    <t>Cumul (mm)</t>
  </si>
  <si>
    <t>Jours secs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</si>
</sst>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41" formatCode="_-* #,##0_-;\-* #,##0_-;_-* &quot;-&quot;_-;_-@_-"/>
  </numFmts>
  <fonts count="28">
    <font>
      <sz val="11"/>
      <color theme="1"/>
      <name val="Calibri"/>
      <charset val="134"/>
      <scheme val="minor"/>
    </font>
    <font>
      <b/>
      <sz val="11"/>
      <color theme="1"/>
      <name val="AdelonSerial"/>
      <charset val="134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u/>
      <sz val="13"/>
      <color theme="1"/>
      <name val="Berlin Sans FB Demi"/>
      <charset val="134"/>
    </font>
    <font>
      <b/>
      <u/>
      <sz val="12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sz val="9"/>
      <color theme="1"/>
      <name val="AdelonSerial"/>
      <charset val="134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7" fillId="0" borderId="0" applyNumberForma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18" fillId="14" borderId="5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1" fillId="7" borderId="3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</cellStyleXfs>
  <cellXfs count="30">
    <xf numFmtId="0" fontId="0" fillId="0" borderId="0" xfId="0"/>
    <xf numFmtId="17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Fill="1" applyBorder="1"/>
    <xf numFmtId="1" fontId="0" fillId="0" borderId="1" xfId="0" applyNumberFormat="1" applyBorder="1"/>
    <xf numFmtId="0" fontId="2" fillId="2" borderId="1" xfId="0" applyFont="1" applyFill="1" applyBorder="1"/>
    <xf numFmtId="0" fontId="0" fillId="2" borderId="1" xfId="0" applyFill="1" applyBorder="1"/>
    <xf numFmtId="0" fontId="2" fillId="3" borderId="1" xfId="0" applyFont="1" applyFill="1" applyBorder="1"/>
    <xf numFmtId="1" fontId="0" fillId="3" borderId="1" xfId="0" applyNumberFormat="1" applyFill="1" applyBorder="1"/>
    <xf numFmtId="0" fontId="3" fillId="4" borderId="1" xfId="0" applyFont="1" applyFill="1" applyBorder="1"/>
    <xf numFmtId="1" fontId="3" fillId="4" borderId="1" xfId="0" applyNumberFormat="1" applyFont="1" applyFill="1" applyBorder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3" fontId="0" fillId="0" borderId="1" xfId="0" applyNumberFormat="1" applyBorder="1"/>
    <xf numFmtId="0" fontId="0" fillId="4" borderId="1" xfId="0" applyFill="1" applyBorder="1"/>
    <xf numFmtId="0" fontId="0" fillId="3" borderId="1" xfId="0" applyFill="1" applyBorder="1"/>
    <xf numFmtId="3" fontId="0" fillId="0" borderId="0" xfId="0" applyNumberFormat="1" applyBorder="1"/>
    <xf numFmtId="0" fontId="0" fillId="0" borderId="0" xfId="0" applyAlignment="1">
      <alignment horizontal="center"/>
    </xf>
  </cellXfs>
  <cellStyles count="49">
    <cellStyle name="Normal" xfId="0" builtinId="0"/>
    <cellStyle name="Lien hypertexte visité" xfId="1" builtinId="9"/>
    <cellStyle name="Virgule" xfId="2" builtinId="3"/>
    <cellStyle name="60 % - Accent6" xfId="3" builtinId="52"/>
    <cellStyle name="Calcul" xfId="4" builtinId="22"/>
    <cellStyle name="Titre" xfId="5" builtinId="15"/>
    <cellStyle name="Monétaire [0]" xfId="6" builtinId="7"/>
    <cellStyle name="Monétaire" xfId="7" builtinId="4"/>
    <cellStyle name="Milliers [0]" xfId="8" builtinId="6"/>
    <cellStyle name="Cellule liée" xfId="9" builtinId="24"/>
    <cellStyle name="Pourcentage" xfId="10" builtinId="5"/>
    <cellStyle name="Lien hypertexte" xfId="11" builtinId="8"/>
    <cellStyle name="Note" xfId="12" builtinId="10"/>
    <cellStyle name="Avertissement" xfId="13" builtinId="11"/>
    <cellStyle name="CTexte explicatif" xfId="14" builtinId="53"/>
    <cellStyle name="Titre 1" xfId="15" builtinId="16"/>
    <cellStyle name="Titre 2" xfId="16" builtinId="17"/>
    <cellStyle name="Accent1" xfId="17" builtinId="29"/>
    <cellStyle name="Titre 3" xfId="18" builtinId="18"/>
    <cellStyle name="Accent2" xfId="19" builtinId="33"/>
    <cellStyle name="Titre 4" xfId="20" builtinId="19"/>
    <cellStyle name="Neutre" xfId="21" builtinId="28"/>
    <cellStyle name="Entrée" xfId="22" builtinId="20"/>
    <cellStyle name="40 % - Accent2" xfId="23" builtinId="35"/>
    <cellStyle name="Sortie" xfId="24" builtinId="21"/>
    <cellStyle name="Vérification de cellule" xfId="25" builtinId="23"/>
    <cellStyle name="Total" xfId="26" builtinId="25"/>
    <cellStyle name="Accent4" xfId="27" builtinId="41"/>
    <cellStyle name="Satisfaisant" xfId="28" builtinId="26"/>
    <cellStyle name="Insatisfaisant" xfId="29" builtinId="27"/>
    <cellStyle name="20 % - Accent1" xfId="30" builtinId="30"/>
    <cellStyle name="40 % - Accent1" xfId="31" builtinId="31"/>
    <cellStyle name="60 % - Accent1" xfId="32" builtinId="32"/>
    <cellStyle name="20 % - Accent2" xfId="33" builtinId="34"/>
    <cellStyle name="60 % - Accent2" xfId="34" builtinId="36"/>
    <cellStyle name="Accent3" xfId="35" builtinId="37"/>
    <cellStyle name="20 % - Accent3" xfId="36" builtinId="38"/>
    <cellStyle name="40 % - Accent3" xfId="37" builtinId="39"/>
    <cellStyle name="60 % - Accent3" xfId="38" builtinId="40"/>
    <cellStyle name="20 % - Accent4" xfId="39" builtinId="42"/>
    <cellStyle name="40 % - Accent4" xfId="40" builtinId="43"/>
    <cellStyle name="60 % - Accent4" xfId="41" builtinId="44"/>
    <cellStyle name="Accent5" xfId="42" builtinId="45"/>
    <cellStyle name="20 % - Accent5" xfId="43" builtinId="46"/>
    <cellStyle name="40 % - Accent5" xfId="44" builtinId="47"/>
    <cellStyle name="60 % - Accent5" xfId="45" builtinId="48"/>
    <cellStyle name="Accent6" xfId="46" builtinId="49"/>
    <cellStyle name="20 % - Accent6" xfId="47" builtinId="50"/>
    <cellStyle name="40 % - Accent6" xfId="48" builtin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6"/>
  <sheetViews>
    <sheetView workbookViewId="0">
      <selection activeCell="AK11" sqref="AK11"/>
    </sheetView>
  </sheetViews>
  <sheetFormatPr defaultColWidth="11" defaultRowHeight="15"/>
  <cols>
    <col min="1" max="1" width="12" customWidth="1"/>
    <col min="2" max="32" width="3.71428571428571" customWidth="1"/>
    <col min="33" max="33" width="8.85714285714286" customWidth="1"/>
  </cols>
  <sheetData>
    <row r="1" ht="17.25" spans="1:1">
      <c r="A1" s="18" t="s">
        <v>0</v>
      </c>
    </row>
    <row r="3" ht="15.75" spans="1:33">
      <c r="A3" s="19" t="s">
        <v>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</row>
    <row r="5" ht="15.75" spans="1:33">
      <c r="A5" s="29" t="s">
        <v>2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</row>
    <row r="7" spans="1:33">
      <c r="A7" s="5" t="s">
        <v>3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 t="s">
        <v>4</v>
      </c>
    </row>
    <row r="8" ht="25.35" customHeight="1" spans="1:33">
      <c r="A8" s="5" t="s">
        <v>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ht="25.35" customHeight="1" spans="1:33">
      <c r="A9" s="5" t="s">
        <v>6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ht="25.35" customHeight="1" spans="1:33">
      <c r="A10" s="5" t="s">
        <v>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ht="25.35" customHeight="1" spans="1:33">
      <c r="A11" s="5" t="s">
        <v>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ht="25.35" customHeight="1" spans="1:33">
      <c r="A12" s="5" t="s">
        <v>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ht="25.35" customHeight="1" spans="1:33">
      <c r="A13" s="5" t="s">
        <v>10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ht="25.35" customHeight="1" spans="1:33">
      <c r="A14" s="5" t="s">
        <v>11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ht="25.35" customHeight="1" spans="1:33">
      <c r="A15" s="5" t="s">
        <v>12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ht="25.35" customHeight="1" spans="1:33">
      <c r="A16" s="5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</sheetData>
  <mergeCells count="2">
    <mergeCell ref="A3:AG3"/>
    <mergeCell ref="A5:AG5"/>
  </mergeCells>
  <pageMargins left="0.511811023622047" right="0.511811023622047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AH17"/>
  <sheetViews>
    <sheetView workbookViewId="0">
      <selection activeCell="AK11" sqref="AK11"/>
    </sheetView>
  </sheetViews>
  <sheetFormatPr defaultColWidth="11" defaultRowHeight="15"/>
  <cols>
    <col min="1" max="1" width="12" customWidth="1"/>
    <col min="2" max="2" width="3.42857142857143" customWidth="1"/>
    <col min="3" max="3" width="3" customWidth="1"/>
    <col min="4" max="5" width="3.71428571428571" customWidth="1"/>
    <col min="6" max="6" width="3" customWidth="1"/>
    <col min="7" max="7" width="3.71428571428571" customWidth="1"/>
    <col min="8" max="8" width="2.85714285714286" customWidth="1"/>
    <col min="9" max="9" width="3.42857142857143" customWidth="1"/>
    <col min="10" max="10" width="3" customWidth="1"/>
    <col min="11" max="11" width="3.42857142857143" customWidth="1"/>
    <col min="12" max="12" width="3.71428571428571" customWidth="1"/>
    <col min="13" max="13" width="3.28571428571429" customWidth="1"/>
    <col min="14" max="14" width="3.71428571428571" customWidth="1"/>
    <col min="15" max="15" width="3.14285714285714" customWidth="1"/>
    <col min="16" max="16" width="3.71428571428571" customWidth="1"/>
    <col min="17" max="17" width="3.14285714285714" customWidth="1"/>
    <col min="18" max="18" width="3.42857142857143" customWidth="1"/>
    <col min="19" max="19" width="3.57142857142857" customWidth="1"/>
    <col min="20" max="20" width="3.28571428571429" customWidth="1"/>
    <col min="21" max="21" width="3.14285714285714" customWidth="1"/>
    <col min="22" max="23" width="3.42857142857143" customWidth="1"/>
    <col min="24" max="24" width="3.71428571428571" customWidth="1"/>
    <col min="25" max="25" width="3.42857142857143" customWidth="1"/>
    <col min="26" max="27" width="3.71428571428571" customWidth="1"/>
    <col min="28" max="30" width="3.28571428571429" customWidth="1"/>
    <col min="31" max="31" width="3.42857142857143" customWidth="1"/>
    <col min="32" max="32" width="3.28571428571429" customWidth="1"/>
    <col min="33" max="33" width="7.28571428571429" customWidth="1"/>
    <col min="34" max="34" width="7" customWidth="1"/>
  </cols>
  <sheetData>
    <row r="1" ht="17.25" spans="1:1">
      <c r="A1" s="18" t="s">
        <v>0</v>
      </c>
    </row>
    <row r="3" ht="15.75" spans="1:34">
      <c r="A3" s="19" t="s">
        <v>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</row>
    <row r="5" ht="15.75" spans="1:34">
      <c r="A5" s="20" t="s">
        <v>14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7" spans="1:34">
      <c r="A7" s="22" t="s">
        <v>3</v>
      </c>
      <c r="B7" s="23">
        <v>1</v>
      </c>
      <c r="C7" s="23">
        <v>2</v>
      </c>
      <c r="D7" s="23">
        <v>3</v>
      </c>
      <c r="E7" s="23">
        <v>4</v>
      </c>
      <c r="F7" s="23">
        <v>5</v>
      </c>
      <c r="G7" s="23">
        <v>6</v>
      </c>
      <c r="H7" s="23">
        <v>7</v>
      </c>
      <c r="I7" s="23">
        <v>8</v>
      </c>
      <c r="J7" s="23">
        <v>9</v>
      </c>
      <c r="K7" s="23">
        <v>10</v>
      </c>
      <c r="L7" s="23">
        <v>11</v>
      </c>
      <c r="M7" s="23">
        <v>12</v>
      </c>
      <c r="N7" s="23">
        <v>13</v>
      </c>
      <c r="O7" s="23">
        <v>14</v>
      </c>
      <c r="P7" s="23">
        <v>15</v>
      </c>
      <c r="Q7" s="23">
        <v>16</v>
      </c>
      <c r="R7" s="23">
        <v>17</v>
      </c>
      <c r="S7" s="23">
        <v>18</v>
      </c>
      <c r="T7" s="23">
        <v>19</v>
      </c>
      <c r="U7" s="23">
        <v>20</v>
      </c>
      <c r="V7" s="23">
        <v>21</v>
      </c>
      <c r="W7" s="23">
        <v>22</v>
      </c>
      <c r="X7" s="23">
        <v>23</v>
      </c>
      <c r="Y7" s="23">
        <v>24</v>
      </c>
      <c r="Z7" s="23">
        <v>25</v>
      </c>
      <c r="AA7" s="23">
        <v>26</v>
      </c>
      <c r="AB7" s="23">
        <v>27</v>
      </c>
      <c r="AC7" s="23">
        <v>28</v>
      </c>
      <c r="AD7" s="23">
        <v>29</v>
      </c>
      <c r="AE7" s="23">
        <v>30</v>
      </c>
      <c r="AF7" s="23">
        <v>31</v>
      </c>
      <c r="AG7" s="24" t="s">
        <v>4</v>
      </c>
      <c r="AH7" s="24" t="s">
        <v>15</v>
      </c>
    </row>
    <row r="8" ht="25.35" customHeight="1" spans="1:34">
      <c r="A8" s="5" t="s">
        <v>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25">
        <f>SUM(B8:AF8)</f>
        <v>0</v>
      </c>
      <c r="AH8" s="25">
        <f>AG8</f>
        <v>0</v>
      </c>
    </row>
    <row r="9" ht="25.35" customHeight="1" spans="1:34">
      <c r="A9" s="5" t="s">
        <v>6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25">
        <f t="shared" ref="AG9:AG17" si="0">SUM(B9:AF9)</f>
        <v>0</v>
      </c>
      <c r="AH9" s="25">
        <f t="shared" ref="AH9:AH17" si="1">AG9</f>
        <v>0</v>
      </c>
    </row>
    <row r="10" ht="25.35" customHeight="1" spans="1:34">
      <c r="A10" s="5" t="s">
        <v>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25">
        <f t="shared" si="0"/>
        <v>0</v>
      </c>
      <c r="AH10" s="25">
        <f t="shared" si="1"/>
        <v>0</v>
      </c>
    </row>
    <row r="11" ht="25.35" customHeight="1" spans="1:34">
      <c r="A11" s="5" t="s">
        <v>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25">
        <f t="shared" si="0"/>
        <v>0</v>
      </c>
      <c r="AH11" s="25">
        <f t="shared" si="1"/>
        <v>0</v>
      </c>
    </row>
    <row r="12" ht="25.35" customHeight="1" spans="1:34">
      <c r="A12" s="5" t="s">
        <v>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25">
        <f t="shared" si="0"/>
        <v>0</v>
      </c>
      <c r="AH12" s="25">
        <f t="shared" si="1"/>
        <v>0</v>
      </c>
    </row>
    <row r="13" ht="25.35" customHeight="1" spans="1:34">
      <c r="A13" s="5" t="s">
        <v>10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25">
        <f t="shared" si="0"/>
        <v>0</v>
      </c>
      <c r="AH13" s="25">
        <f t="shared" si="1"/>
        <v>0</v>
      </c>
    </row>
    <row r="14" ht="25.35" customHeight="1" spans="1:34">
      <c r="A14" s="5" t="s">
        <v>16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25">
        <f t="shared" ref="AG14" si="2">SUM(B14:AF14)</f>
        <v>0</v>
      </c>
      <c r="AH14" s="25">
        <f t="shared" ref="AH14" si="3">AG14</f>
        <v>0</v>
      </c>
    </row>
    <row r="15" ht="25.35" customHeight="1" spans="1:34">
      <c r="A15" s="5" t="s">
        <v>17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25">
        <f t="shared" si="0"/>
        <v>0</v>
      </c>
      <c r="AH15" s="25">
        <f t="shared" si="1"/>
        <v>0</v>
      </c>
    </row>
    <row r="16" ht="25.35" customHeight="1" spans="1:34">
      <c r="A16" s="5" t="s">
        <v>18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25">
        <f t="shared" si="0"/>
        <v>0</v>
      </c>
      <c r="AH16" s="25">
        <f t="shared" si="1"/>
        <v>0</v>
      </c>
    </row>
    <row r="17" ht="25.35" customHeight="1" spans="1:34">
      <c r="A17" s="5" t="s">
        <v>13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25">
        <f t="shared" si="0"/>
        <v>0</v>
      </c>
      <c r="AH17" s="25">
        <f t="shared" si="1"/>
        <v>0</v>
      </c>
    </row>
  </sheetData>
  <mergeCells count="2">
    <mergeCell ref="A3:AH3"/>
    <mergeCell ref="A5:AH5"/>
  </mergeCells>
  <printOptions horizontalCentered="1"/>
  <pageMargins left="0.118110236220472" right="0.118110236220472" top="0.748031496062992" bottom="0.748031496062992" header="0.31496062992126" footer="0.31496062992126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-0.499984740745262"/>
  </sheetPr>
  <dimension ref="A1:AH17"/>
  <sheetViews>
    <sheetView tabSelected="1" workbookViewId="0">
      <selection activeCell="AJ9" sqref="AJ9"/>
    </sheetView>
  </sheetViews>
  <sheetFormatPr defaultColWidth="11" defaultRowHeight="15"/>
  <cols>
    <col min="1" max="1" width="12" customWidth="1"/>
    <col min="2" max="32" width="3.71428571428571" customWidth="1"/>
    <col min="33" max="33" width="8" customWidth="1"/>
    <col min="34" max="34" width="6.71428571428571" customWidth="1"/>
  </cols>
  <sheetData>
    <row r="1" ht="17.25" spans="1:1">
      <c r="A1" s="18" t="s">
        <v>0</v>
      </c>
    </row>
    <row r="3" ht="15.75" spans="1:34">
      <c r="A3" s="19" t="s">
        <v>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</row>
    <row r="5" ht="15.75" spans="1:34">
      <c r="A5" s="20" t="s">
        <v>19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7" spans="1:34">
      <c r="A7" s="22" t="s">
        <v>3</v>
      </c>
      <c r="B7" s="23">
        <v>1</v>
      </c>
      <c r="C7" s="23">
        <v>2</v>
      </c>
      <c r="D7" s="23">
        <v>3</v>
      </c>
      <c r="E7" s="23">
        <v>4</v>
      </c>
      <c r="F7" s="23">
        <v>5</v>
      </c>
      <c r="G7" s="23">
        <v>6</v>
      </c>
      <c r="H7" s="23">
        <v>7</v>
      </c>
      <c r="I7" s="23">
        <v>8</v>
      </c>
      <c r="J7" s="23">
        <v>9</v>
      </c>
      <c r="K7" s="23">
        <v>10</v>
      </c>
      <c r="L7" s="23">
        <v>11</v>
      </c>
      <c r="M7" s="23">
        <v>12</v>
      </c>
      <c r="N7" s="23">
        <v>13</v>
      </c>
      <c r="O7" s="23">
        <v>14</v>
      </c>
      <c r="P7" s="23">
        <v>15</v>
      </c>
      <c r="Q7" s="23">
        <v>16</v>
      </c>
      <c r="R7" s="23">
        <v>17</v>
      </c>
      <c r="S7" s="23">
        <v>18</v>
      </c>
      <c r="T7" s="23">
        <v>19</v>
      </c>
      <c r="U7" s="23">
        <v>20</v>
      </c>
      <c r="V7" s="23">
        <v>21</v>
      </c>
      <c r="W7" s="23">
        <v>22</v>
      </c>
      <c r="X7" s="23">
        <v>23</v>
      </c>
      <c r="Y7" s="23">
        <v>24</v>
      </c>
      <c r="Z7" s="23">
        <v>25</v>
      </c>
      <c r="AA7" s="23">
        <v>26</v>
      </c>
      <c r="AB7" s="23">
        <v>27</v>
      </c>
      <c r="AC7" s="23">
        <v>28</v>
      </c>
      <c r="AD7" s="23">
        <v>29</v>
      </c>
      <c r="AE7" s="23">
        <v>30</v>
      </c>
      <c r="AF7" s="23">
        <v>31</v>
      </c>
      <c r="AG7" s="24" t="s">
        <v>4</v>
      </c>
      <c r="AH7" s="24" t="s">
        <v>15</v>
      </c>
    </row>
    <row r="8" ht="25.35" customHeight="1" spans="1:34">
      <c r="A8" s="5" t="s">
        <v>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>
        <v>0</v>
      </c>
      <c r="Z8" s="6">
        <v>17</v>
      </c>
      <c r="AA8" s="6">
        <v>0</v>
      </c>
      <c r="AB8" s="6"/>
      <c r="AC8" s="6"/>
      <c r="AD8" s="6"/>
      <c r="AE8" s="6"/>
      <c r="AF8" s="6">
        <v>0</v>
      </c>
      <c r="AG8" s="25">
        <f>SUM(B8:AF8)</f>
        <v>17</v>
      </c>
      <c r="AH8" s="25">
        <f>FEVRIER!AH8+AG8</f>
        <v>17</v>
      </c>
    </row>
    <row r="9" ht="25.35" customHeight="1" spans="1:34">
      <c r="A9" s="5" t="s">
        <v>6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>
        <v>0</v>
      </c>
      <c r="Z9" s="6">
        <v>1</v>
      </c>
      <c r="AA9" s="6">
        <v>0</v>
      </c>
      <c r="AB9" s="6"/>
      <c r="AC9" s="6"/>
      <c r="AD9" s="6"/>
      <c r="AE9" s="6"/>
      <c r="AF9" s="6">
        <v>0</v>
      </c>
      <c r="AG9" s="25">
        <f t="shared" ref="AG9:AG17" si="0">SUM(B9:AF9)</f>
        <v>1</v>
      </c>
      <c r="AH9" s="25">
        <f>FEVRIER!AH9+AG9</f>
        <v>1</v>
      </c>
    </row>
    <row r="10" ht="25.35" customHeight="1" spans="1:34">
      <c r="A10" s="5" t="s">
        <v>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>
        <v>0</v>
      </c>
      <c r="Z10" s="6">
        <v>3</v>
      </c>
      <c r="AA10" s="6">
        <v>0</v>
      </c>
      <c r="AB10" s="6"/>
      <c r="AC10" s="6"/>
      <c r="AD10" s="6"/>
      <c r="AE10" s="6"/>
      <c r="AF10" s="6">
        <v>0</v>
      </c>
      <c r="AG10" s="25">
        <f t="shared" si="0"/>
        <v>3</v>
      </c>
      <c r="AH10" s="25">
        <f>FEVRIER!AH10+AG10</f>
        <v>3</v>
      </c>
    </row>
    <row r="11" ht="25.35" customHeight="1" spans="1:34">
      <c r="A11" s="5" t="s">
        <v>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0</v>
      </c>
      <c r="Z11" s="6">
        <v>0</v>
      </c>
      <c r="AA11" s="6">
        <v>0</v>
      </c>
      <c r="AB11" s="6"/>
      <c r="AC11" s="6"/>
      <c r="AD11" s="6"/>
      <c r="AE11" s="6"/>
      <c r="AF11" s="6">
        <v>0</v>
      </c>
      <c r="AG11" s="25">
        <f t="shared" si="0"/>
        <v>0</v>
      </c>
      <c r="AH11" s="25">
        <f>FEVRIER!AH11+AG11</f>
        <v>0</v>
      </c>
    </row>
    <row r="12" ht="25.35" customHeight="1" spans="1:34">
      <c r="A12" s="5" t="s">
        <v>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>
        <v>0</v>
      </c>
      <c r="Z12" s="6">
        <v>0</v>
      </c>
      <c r="AA12" s="6">
        <v>0</v>
      </c>
      <c r="AB12" s="6"/>
      <c r="AC12" s="6"/>
      <c r="AD12" s="6"/>
      <c r="AE12" s="6"/>
      <c r="AF12" s="6">
        <v>0</v>
      </c>
      <c r="AG12" s="25">
        <f t="shared" si="0"/>
        <v>0</v>
      </c>
      <c r="AH12" s="25">
        <f>FEVRIER!AH12+AG12</f>
        <v>0</v>
      </c>
    </row>
    <row r="13" ht="25.35" customHeight="1" spans="1:34">
      <c r="A13" s="5" t="s">
        <v>10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>
        <v>0</v>
      </c>
      <c r="Z13" s="6">
        <v>0</v>
      </c>
      <c r="AA13" s="6">
        <v>0</v>
      </c>
      <c r="AB13" s="6"/>
      <c r="AC13" s="6"/>
      <c r="AD13" s="6"/>
      <c r="AE13" s="6"/>
      <c r="AF13" s="6">
        <v>0</v>
      </c>
      <c r="AG13" s="25">
        <f t="shared" si="0"/>
        <v>0</v>
      </c>
      <c r="AH13" s="25">
        <f>FEVRIER!AH13+AG13</f>
        <v>0</v>
      </c>
    </row>
    <row r="14" ht="25.35" customHeight="1" spans="1:34">
      <c r="A14" s="5" t="s">
        <v>16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>
        <v>5</v>
      </c>
      <c r="Z14" s="6">
        <v>0</v>
      </c>
      <c r="AA14" s="6">
        <v>0</v>
      </c>
      <c r="AB14" s="6"/>
      <c r="AC14" s="6"/>
      <c r="AD14" s="6"/>
      <c r="AE14" s="6"/>
      <c r="AF14" s="6">
        <v>0</v>
      </c>
      <c r="AG14" s="25">
        <f t="shared" si="0"/>
        <v>5</v>
      </c>
      <c r="AH14" s="25">
        <f>FEVRIER!AH14+AG14</f>
        <v>5</v>
      </c>
    </row>
    <row r="15" ht="25.35" customHeight="1" spans="1:34">
      <c r="A15" s="5" t="s">
        <v>17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2</v>
      </c>
      <c r="Z15" s="6">
        <v>0</v>
      </c>
      <c r="AA15" s="6">
        <v>11</v>
      </c>
      <c r="AB15" s="6"/>
      <c r="AC15" s="6"/>
      <c r="AD15" s="6"/>
      <c r="AE15" s="6"/>
      <c r="AF15" s="6">
        <v>0</v>
      </c>
      <c r="AG15" s="25">
        <f t="shared" si="0"/>
        <v>13</v>
      </c>
      <c r="AH15" s="25">
        <f>FEVRIER!AH15+AG15</f>
        <v>13</v>
      </c>
    </row>
    <row r="16" ht="25.35" customHeight="1" spans="1:34">
      <c r="A16" s="5" t="s">
        <v>18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>
        <v>0</v>
      </c>
      <c r="Z16" s="6">
        <v>0</v>
      </c>
      <c r="AA16" s="6">
        <v>1</v>
      </c>
      <c r="AB16" s="6"/>
      <c r="AC16" s="6"/>
      <c r="AD16" s="6"/>
      <c r="AE16" s="6"/>
      <c r="AF16" s="6">
        <v>0</v>
      </c>
      <c r="AG16" s="25">
        <f t="shared" si="0"/>
        <v>1</v>
      </c>
      <c r="AH16" s="25">
        <f>FEVRIER!AH16+AG16</f>
        <v>1</v>
      </c>
    </row>
    <row r="17" ht="25.35" customHeight="1" spans="1:34">
      <c r="A17" s="5" t="s">
        <v>13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>
        <v>1</v>
      </c>
      <c r="Z17" s="6">
        <v>2</v>
      </c>
      <c r="AA17" s="6">
        <v>0</v>
      </c>
      <c r="AB17" s="6"/>
      <c r="AC17" s="6"/>
      <c r="AD17" s="6"/>
      <c r="AE17" s="6"/>
      <c r="AF17" s="6">
        <v>2</v>
      </c>
      <c r="AG17" s="25">
        <f t="shared" si="0"/>
        <v>5</v>
      </c>
      <c r="AH17" s="25">
        <f>FEVRIER!AH17+AG17</f>
        <v>5</v>
      </c>
    </row>
  </sheetData>
  <mergeCells count="2">
    <mergeCell ref="A3:AH3"/>
    <mergeCell ref="A5:AH5"/>
  </mergeCells>
  <pageMargins left="0.118110236220472" right="0.118110236220472" top="0.748031496062992" bottom="0.748031496062992" header="0.31496062992126" footer="0.31496062992126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H17"/>
  <sheetViews>
    <sheetView topLeftCell="A3" workbookViewId="0">
      <selection activeCell="AK11" sqref="AK11"/>
    </sheetView>
  </sheetViews>
  <sheetFormatPr defaultColWidth="11" defaultRowHeight="15"/>
  <cols>
    <col min="1" max="1" width="12" customWidth="1"/>
    <col min="2" max="32" width="3.71428571428571" customWidth="1"/>
    <col min="33" max="33" width="8" customWidth="1"/>
    <col min="34" max="34" width="6.71428571428571" customWidth="1"/>
  </cols>
  <sheetData>
    <row r="1" ht="17.25" spans="1:1">
      <c r="A1" s="18" t="s">
        <v>0</v>
      </c>
    </row>
    <row r="3" ht="15.75" spans="1:34">
      <c r="A3" s="19" t="s">
        <v>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</row>
    <row r="5" ht="15.75" spans="1:34">
      <c r="A5" s="20" t="s">
        <v>20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7" spans="1:34">
      <c r="A7" s="22" t="s">
        <v>3</v>
      </c>
      <c r="B7" s="23">
        <v>1</v>
      </c>
      <c r="C7" s="23">
        <v>2</v>
      </c>
      <c r="D7" s="23">
        <v>3</v>
      </c>
      <c r="E7" s="23">
        <v>4</v>
      </c>
      <c r="F7" s="23">
        <v>5</v>
      </c>
      <c r="G7" s="23">
        <v>6</v>
      </c>
      <c r="H7" s="23">
        <v>7</v>
      </c>
      <c r="I7" s="23">
        <v>8</v>
      </c>
      <c r="J7" s="23">
        <v>0</v>
      </c>
      <c r="K7" s="23">
        <v>10</v>
      </c>
      <c r="L7" s="23">
        <v>11</v>
      </c>
      <c r="M7" s="23">
        <v>12</v>
      </c>
      <c r="N7" s="23">
        <v>13</v>
      </c>
      <c r="O7" s="23">
        <v>14</v>
      </c>
      <c r="P7" s="23">
        <v>15</v>
      </c>
      <c r="Q7" s="23">
        <v>16</v>
      </c>
      <c r="R7" s="23">
        <v>17</v>
      </c>
      <c r="S7" s="23">
        <v>18</v>
      </c>
      <c r="T7" s="23">
        <v>19</v>
      </c>
      <c r="U7" s="23">
        <v>20</v>
      </c>
      <c r="V7" s="23">
        <v>21</v>
      </c>
      <c r="W7" s="23">
        <v>22</v>
      </c>
      <c r="X7" s="23">
        <v>23</v>
      </c>
      <c r="Y7" s="23">
        <v>24</v>
      </c>
      <c r="Z7" s="23">
        <v>25</v>
      </c>
      <c r="AA7" s="23">
        <v>26</v>
      </c>
      <c r="AB7" s="23">
        <v>27</v>
      </c>
      <c r="AC7" s="23">
        <v>28</v>
      </c>
      <c r="AD7" s="23">
        <v>29</v>
      </c>
      <c r="AE7" s="23">
        <v>30</v>
      </c>
      <c r="AF7" s="23">
        <v>31</v>
      </c>
      <c r="AG7" s="24" t="s">
        <v>4</v>
      </c>
      <c r="AH7" s="24" t="s">
        <v>15</v>
      </c>
    </row>
    <row r="8" ht="25.35" customHeight="1" spans="1:34">
      <c r="A8" s="5" t="s">
        <v>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1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/>
      <c r="AG8" s="25">
        <f>SUM(B8:AF8)</f>
        <v>1</v>
      </c>
      <c r="AH8" s="25">
        <f>MARS!AH8+AG8</f>
        <v>18</v>
      </c>
    </row>
    <row r="9" ht="25.35" customHeight="1" spans="1:34">
      <c r="A9" s="5" t="s">
        <v>6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/>
      <c r="AG9" s="25">
        <f t="shared" ref="AG9:AG17" si="0">SUM(B9:AF9)</f>
        <v>0</v>
      </c>
      <c r="AH9" s="25">
        <f>MARS!AH9+AG9</f>
        <v>1</v>
      </c>
    </row>
    <row r="10" ht="25.35" customHeight="1" spans="1:34">
      <c r="A10" s="5" t="s">
        <v>7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4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/>
      <c r="AG10" s="25">
        <f t="shared" si="0"/>
        <v>4</v>
      </c>
      <c r="AH10" s="25">
        <f>MARS!AH10+AG10</f>
        <v>7</v>
      </c>
    </row>
    <row r="11" ht="25.35" customHeight="1" spans="1:34">
      <c r="A11" s="5" t="s">
        <v>8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3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1</v>
      </c>
      <c r="AF11" s="6"/>
      <c r="AG11" s="25">
        <f t="shared" si="0"/>
        <v>4</v>
      </c>
      <c r="AH11" s="25">
        <f>MARS!AH11+AG11</f>
        <v>4</v>
      </c>
    </row>
    <row r="12" ht="25.35" customHeight="1" spans="1:34">
      <c r="A12" s="5" t="s">
        <v>9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/>
      <c r="AG12" s="25">
        <f t="shared" si="0"/>
        <v>0</v>
      </c>
      <c r="AH12" s="25">
        <f>MARS!AH12+AG12</f>
        <v>0</v>
      </c>
    </row>
    <row r="13" ht="25.35" customHeight="1" spans="1:34">
      <c r="A13" s="5" t="s">
        <v>10</v>
      </c>
      <c r="B13" s="6">
        <v>0</v>
      </c>
      <c r="C13" s="6">
        <v>0</v>
      </c>
      <c r="D13" s="6">
        <v>0</v>
      </c>
      <c r="E13" s="6">
        <v>0</v>
      </c>
      <c r="F13" s="6">
        <v>3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1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8</v>
      </c>
      <c r="AF13" s="6"/>
      <c r="AG13" s="25">
        <f t="shared" si="0"/>
        <v>12</v>
      </c>
      <c r="AH13" s="25">
        <f>MARS!AH13+AG13</f>
        <v>12</v>
      </c>
    </row>
    <row r="14" ht="25.35" customHeight="1" spans="1:34">
      <c r="A14" s="5" t="s">
        <v>16</v>
      </c>
      <c r="B14" s="6">
        <v>0</v>
      </c>
      <c r="C14" s="6">
        <v>0</v>
      </c>
      <c r="D14" s="6">
        <v>0</v>
      </c>
      <c r="E14" s="6">
        <v>0</v>
      </c>
      <c r="F14" s="6">
        <v>19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28</v>
      </c>
      <c r="Z14" s="6">
        <v>3</v>
      </c>
      <c r="AA14" s="6">
        <v>3</v>
      </c>
      <c r="AB14" s="6">
        <v>0</v>
      </c>
      <c r="AC14" s="6">
        <v>0</v>
      </c>
      <c r="AD14" s="6">
        <v>0</v>
      </c>
      <c r="AE14" s="6">
        <v>5</v>
      </c>
      <c r="AF14" s="6"/>
      <c r="AG14" s="25">
        <f t="shared" ref="AG14" si="1">SUM(B14:AF14)</f>
        <v>58</v>
      </c>
      <c r="AH14" s="25">
        <f>MARS!AH14+AG14</f>
        <v>63</v>
      </c>
    </row>
    <row r="15" ht="25.35" customHeight="1" spans="1:34">
      <c r="A15" s="5" t="s">
        <v>17</v>
      </c>
      <c r="B15" s="6">
        <v>0</v>
      </c>
      <c r="C15" s="6">
        <v>0</v>
      </c>
      <c r="D15" s="6">
        <v>0</v>
      </c>
      <c r="E15" s="6">
        <v>0</v>
      </c>
      <c r="F15" s="6">
        <v>1</v>
      </c>
      <c r="G15" s="6">
        <v>26</v>
      </c>
      <c r="H15" s="6">
        <v>0</v>
      </c>
      <c r="I15" s="6">
        <v>7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10</v>
      </c>
      <c r="Y15" s="6">
        <v>0</v>
      </c>
      <c r="Z15" s="6">
        <v>8</v>
      </c>
      <c r="AA15" s="6">
        <v>2</v>
      </c>
      <c r="AB15" s="6">
        <v>0</v>
      </c>
      <c r="AC15" s="6">
        <v>0</v>
      </c>
      <c r="AD15" s="6">
        <v>0</v>
      </c>
      <c r="AE15" s="6">
        <v>3</v>
      </c>
      <c r="AF15" s="6"/>
      <c r="AG15" s="25">
        <f t="shared" si="0"/>
        <v>57</v>
      </c>
      <c r="AH15" s="25">
        <f>MARS!AH15+AG15</f>
        <v>70</v>
      </c>
    </row>
    <row r="16" ht="25.35" customHeight="1" spans="1:34">
      <c r="A16" s="5" t="s">
        <v>18</v>
      </c>
      <c r="B16" s="6">
        <v>0</v>
      </c>
      <c r="C16" s="6">
        <v>0</v>
      </c>
      <c r="D16" s="6">
        <v>1</v>
      </c>
      <c r="E16" s="6">
        <v>0</v>
      </c>
      <c r="F16" s="6">
        <v>0</v>
      </c>
      <c r="G16" s="6">
        <v>20</v>
      </c>
      <c r="H16" s="6">
        <v>0</v>
      </c>
      <c r="I16" s="6">
        <v>6</v>
      </c>
      <c r="J16" s="6">
        <v>0</v>
      </c>
      <c r="K16" s="6">
        <v>3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47</v>
      </c>
      <c r="U16" s="6">
        <v>7</v>
      </c>
      <c r="V16" s="6">
        <v>0</v>
      </c>
      <c r="W16" s="6">
        <v>0</v>
      </c>
      <c r="X16" s="6">
        <v>14</v>
      </c>
      <c r="Y16" s="6">
        <v>0</v>
      </c>
      <c r="Z16" s="6">
        <v>0</v>
      </c>
      <c r="AA16" s="6">
        <v>0</v>
      </c>
      <c r="AB16" s="6">
        <v>13</v>
      </c>
      <c r="AC16" s="6">
        <v>0</v>
      </c>
      <c r="AD16" s="6">
        <v>0</v>
      </c>
      <c r="AE16" s="6">
        <v>0</v>
      </c>
      <c r="AF16" s="6"/>
      <c r="AG16" s="25">
        <f t="shared" si="0"/>
        <v>111</v>
      </c>
      <c r="AH16" s="25">
        <f>MARS!AH16+AG16</f>
        <v>112</v>
      </c>
    </row>
    <row r="17" ht="25.35" customHeight="1" spans="1:34">
      <c r="A17" s="5" t="s">
        <v>13</v>
      </c>
      <c r="B17" s="6">
        <v>0</v>
      </c>
      <c r="C17" s="6">
        <v>0</v>
      </c>
      <c r="D17" s="6">
        <v>2</v>
      </c>
      <c r="E17" s="6">
        <v>0</v>
      </c>
      <c r="F17" s="6">
        <v>0</v>
      </c>
      <c r="G17" s="6">
        <v>8</v>
      </c>
      <c r="H17" s="6">
        <v>0</v>
      </c>
      <c r="I17" s="6">
        <v>35</v>
      </c>
      <c r="J17" s="6">
        <v>1</v>
      </c>
      <c r="K17" s="6">
        <v>3</v>
      </c>
      <c r="L17" s="6">
        <v>1</v>
      </c>
      <c r="M17" s="6">
        <v>0</v>
      </c>
      <c r="N17" s="6">
        <v>0</v>
      </c>
      <c r="O17" s="6">
        <v>1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1</v>
      </c>
      <c r="W17" s="6">
        <v>0</v>
      </c>
      <c r="X17" s="6">
        <v>2</v>
      </c>
      <c r="Y17" s="6">
        <v>0</v>
      </c>
      <c r="Z17" s="6">
        <v>2</v>
      </c>
      <c r="AA17" s="6">
        <v>2</v>
      </c>
      <c r="AB17" s="6">
        <v>2</v>
      </c>
      <c r="AC17" s="6">
        <v>0</v>
      </c>
      <c r="AD17" s="6">
        <v>0</v>
      </c>
      <c r="AE17" s="6">
        <v>0</v>
      </c>
      <c r="AF17" s="6"/>
      <c r="AG17" s="25">
        <f t="shared" si="0"/>
        <v>60</v>
      </c>
      <c r="AH17" s="25">
        <f>MARS!AH17+AG17</f>
        <v>65</v>
      </c>
    </row>
  </sheetData>
  <mergeCells count="2">
    <mergeCell ref="A3:AH3"/>
    <mergeCell ref="A5:AH5"/>
  </mergeCells>
  <pageMargins left="0.118110236220472" right="0.118110236220472" top="0.748031496062992" bottom="0.748031496062992" header="0.31496062992126" footer="0.31496062992126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AH17"/>
  <sheetViews>
    <sheetView workbookViewId="0">
      <selection activeCell="AK11" sqref="AK11"/>
    </sheetView>
  </sheetViews>
  <sheetFormatPr defaultColWidth="11" defaultRowHeight="15"/>
  <cols>
    <col min="1" max="1" width="10.2857142857143" customWidth="1"/>
    <col min="2" max="32" width="3.71428571428571" customWidth="1"/>
    <col min="33" max="33" width="8" customWidth="1"/>
    <col min="34" max="34" width="6.71428571428571" customWidth="1"/>
  </cols>
  <sheetData>
    <row r="1" ht="17.25" spans="1:1">
      <c r="A1" s="18" t="s">
        <v>0</v>
      </c>
    </row>
    <row r="3" ht="15.75" spans="1:34">
      <c r="A3" s="19" t="s">
        <v>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</row>
    <row r="5" ht="15.75" spans="1:34">
      <c r="A5" s="20" t="s">
        <v>21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7" spans="1:34">
      <c r="A7" s="22" t="s">
        <v>3</v>
      </c>
      <c r="B7" s="23">
        <v>1</v>
      </c>
      <c r="C7" s="23">
        <v>2</v>
      </c>
      <c r="D7" s="23">
        <v>3</v>
      </c>
      <c r="E7" s="23">
        <v>4</v>
      </c>
      <c r="F7" s="23">
        <v>5</v>
      </c>
      <c r="G7" s="23">
        <v>6</v>
      </c>
      <c r="H7" s="23">
        <v>7</v>
      </c>
      <c r="I7" s="23">
        <v>8</v>
      </c>
      <c r="J7" s="23">
        <v>9</v>
      </c>
      <c r="K7" s="23">
        <v>10</v>
      </c>
      <c r="L7" s="23">
        <v>11</v>
      </c>
      <c r="M7" s="23">
        <v>12</v>
      </c>
      <c r="N7" s="23">
        <v>13</v>
      </c>
      <c r="O7" s="23">
        <v>14</v>
      </c>
      <c r="P7" s="23">
        <v>15</v>
      </c>
      <c r="Q7" s="23">
        <v>16</v>
      </c>
      <c r="R7" s="23">
        <v>17</v>
      </c>
      <c r="S7" s="23">
        <v>18</v>
      </c>
      <c r="T7" s="23">
        <v>19</v>
      </c>
      <c r="U7" s="23">
        <v>20</v>
      </c>
      <c r="V7" s="23">
        <v>21</v>
      </c>
      <c r="W7" s="23">
        <v>22</v>
      </c>
      <c r="X7" s="23">
        <v>23</v>
      </c>
      <c r="Y7" s="23">
        <v>24</v>
      </c>
      <c r="Z7" s="23">
        <v>25</v>
      </c>
      <c r="AA7" s="23">
        <v>26</v>
      </c>
      <c r="AB7" s="23">
        <v>27</v>
      </c>
      <c r="AC7" s="23">
        <v>28</v>
      </c>
      <c r="AD7" s="23">
        <v>29</v>
      </c>
      <c r="AE7" s="23">
        <v>30</v>
      </c>
      <c r="AF7" s="23">
        <v>31</v>
      </c>
      <c r="AG7" s="24" t="s">
        <v>4</v>
      </c>
      <c r="AH7" s="24" t="s">
        <v>15</v>
      </c>
    </row>
    <row r="8" ht="25.35" customHeight="1" spans="1:34">
      <c r="A8" s="5" t="s">
        <v>5</v>
      </c>
      <c r="B8" s="6">
        <v>5</v>
      </c>
      <c r="C8" s="6">
        <v>5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2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4</v>
      </c>
      <c r="V8" s="6">
        <v>0</v>
      </c>
      <c r="W8" s="6">
        <v>0</v>
      </c>
      <c r="X8" s="6">
        <v>0</v>
      </c>
      <c r="Y8" s="6">
        <v>2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25">
        <f>SUM(B8:AF8)</f>
        <v>18</v>
      </c>
      <c r="AH8" s="25">
        <f>AVRIL!AH8+AG8</f>
        <v>36</v>
      </c>
    </row>
    <row r="9" ht="25.35" customHeight="1" spans="1:34">
      <c r="A9" s="5" t="s">
        <v>6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5</v>
      </c>
      <c r="K9" s="6">
        <v>0</v>
      </c>
      <c r="L9" s="6">
        <v>0</v>
      </c>
      <c r="M9" s="6">
        <v>0</v>
      </c>
      <c r="N9" s="6">
        <v>19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42</v>
      </c>
      <c r="V9" s="6">
        <v>0</v>
      </c>
      <c r="W9" s="6">
        <v>0</v>
      </c>
      <c r="X9" s="6">
        <v>0</v>
      </c>
      <c r="Y9" s="6">
        <v>6</v>
      </c>
      <c r="Z9" s="6">
        <v>0</v>
      </c>
      <c r="AA9" s="6">
        <v>0</v>
      </c>
      <c r="AB9" s="6">
        <v>0</v>
      </c>
      <c r="AC9" s="6">
        <v>0</v>
      </c>
      <c r="AD9" s="6">
        <v>9</v>
      </c>
      <c r="AE9" s="6">
        <v>0</v>
      </c>
      <c r="AF9" s="6">
        <v>0</v>
      </c>
      <c r="AG9" s="25">
        <f t="shared" ref="AG9:AG17" si="0">SUM(B9:AF9)</f>
        <v>81</v>
      </c>
      <c r="AH9" s="25">
        <f>AVRIL!AH9+AG9</f>
        <v>82</v>
      </c>
    </row>
    <row r="10" ht="25.35" customHeight="1" spans="1:34">
      <c r="A10" s="5" t="s">
        <v>7</v>
      </c>
      <c r="B10" s="6">
        <v>3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1</v>
      </c>
      <c r="I10" s="6">
        <v>0</v>
      </c>
      <c r="J10" s="6">
        <v>0</v>
      </c>
      <c r="K10" s="6">
        <v>0</v>
      </c>
      <c r="L10" s="6">
        <v>0</v>
      </c>
      <c r="M10" s="6">
        <v>4</v>
      </c>
      <c r="N10" s="6">
        <v>5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45</v>
      </c>
      <c r="V10" s="6">
        <v>4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25">
        <f t="shared" si="0"/>
        <v>62</v>
      </c>
      <c r="AH10" s="25">
        <f>AVRIL!AH10+AG10</f>
        <v>69</v>
      </c>
    </row>
    <row r="11" ht="25.35" customHeight="1" spans="1:34">
      <c r="A11" s="5" t="s">
        <v>8</v>
      </c>
      <c r="B11" s="6">
        <v>0</v>
      </c>
      <c r="C11" s="6">
        <v>4</v>
      </c>
      <c r="D11" s="6">
        <v>1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10</v>
      </c>
      <c r="K11" s="6">
        <v>1</v>
      </c>
      <c r="L11" s="6">
        <v>0</v>
      </c>
      <c r="M11" s="6">
        <v>5</v>
      </c>
      <c r="N11" s="6">
        <v>9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20</v>
      </c>
      <c r="Z11" s="6">
        <v>0</v>
      </c>
      <c r="AA11" s="6">
        <v>0</v>
      </c>
      <c r="AB11" s="6">
        <v>17</v>
      </c>
      <c r="AC11" s="6">
        <v>0</v>
      </c>
      <c r="AD11" s="6">
        <v>7</v>
      </c>
      <c r="AE11" s="6">
        <v>0</v>
      </c>
      <c r="AF11" s="6">
        <v>0</v>
      </c>
      <c r="AG11" s="25">
        <f t="shared" si="0"/>
        <v>74</v>
      </c>
      <c r="AH11" s="25">
        <f>AVRIL!AH11+AG11</f>
        <v>78</v>
      </c>
    </row>
    <row r="12" ht="25.35" customHeight="1" spans="1:34">
      <c r="A12" s="5" t="s">
        <v>9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20</v>
      </c>
      <c r="O12" s="6">
        <v>0</v>
      </c>
      <c r="P12" s="6">
        <v>0</v>
      </c>
      <c r="Q12" s="6">
        <v>0</v>
      </c>
      <c r="R12" s="6">
        <v>0</v>
      </c>
      <c r="S12" s="6">
        <v>10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1</v>
      </c>
      <c r="Z12" s="6">
        <v>0</v>
      </c>
      <c r="AA12" s="6">
        <v>0</v>
      </c>
      <c r="AB12" s="6">
        <v>20</v>
      </c>
      <c r="AC12" s="6">
        <v>0</v>
      </c>
      <c r="AD12" s="6">
        <v>0</v>
      </c>
      <c r="AE12" s="6">
        <v>0</v>
      </c>
      <c r="AF12" s="6">
        <v>0</v>
      </c>
      <c r="AG12" s="25">
        <f t="shared" si="0"/>
        <v>51</v>
      </c>
      <c r="AH12" s="25">
        <f>AVRIL!AH12+AG12</f>
        <v>51</v>
      </c>
    </row>
    <row r="13" ht="25.35" customHeight="1" spans="1:34">
      <c r="A13" s="5" t="s">
        <v>10</v>
      </c>
      <c r="B13" s="6">
        <v>0</v>
      </c>
      <c r="C13" s="6">
        <v>0</v>
      </c>
      <c r="D13" s="6">
        <v>3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34</v>
      </c>
      <c r="T13" s="6">
        <v>0</v>
      </c>
      <c r="U13" s="6">
        <v>0</v>
      </c>
      <c r="V13" s="6">
        <v>0</v>
      </c>
      <c r="W13" s="6">
        <v>0</v>
      </c>
      <c r="X13" s="6">
        <v>6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25">
        <f t="shared" si="0"/>
        <v>43</v>
      </c>
      <c r="AH13" s="25">
        <f>AVRIL!AH13+AG13</f>
        <v>55</v>
      </c>
    </row>
    <row r="14" ht="25.35" customHeight="1" spans="1:34">
      <c r="A14" s="5" t="s">
        <v>16</v>
      </c>
      <c r="B14" s="6">
        <v>0</v>
      </c>
      <c r="C14" s="6">
        <v>0</v>
      </c>
      <c r="D14" s="6">
        <v>86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7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18</v>
      </c>
      <c r="Q14" s="6">
        <v>0</v>
      </c>
      <c r="R14" s="6">
        <v>18</v>
      </c>
      <c r="S14" s="6">
        <v>32</v>
      </c>
      <c r="T14" s="6">
        <v>0</v>
      </c>
      <c r="U14" s="6">
        <v>0</v>
      </c>
      <c r="V14" s="6">
        <v>0</v>
      </c>
      <c r="W14" s="6">
        <v>0</v>
      </c>
      <c r="X14" s="6">
        <v>2</v>
      </c>
      <c r="Y14" s="6">
        <v>4</v>
      </c>
      <c r="Z14" s="6">
        <v>0</v>
      </c>
      <c r="AA14" s="6">
        <v>0</v>
      </c>
      <c r="AB14" s="6">
        <v>0</v>
      </c>
      <c r="AC14" s="6">
        <v>10</v>
      </c>
      <c r="AD14" s="6">
        <v>0</v>
      </c>
      <c r="AE14" s="6">
        <v>0</v>
      </c>
      <c r="AF14" s="6">
        <v>0</v>
      </c>
      <c r="AG14" s="25">
        <f t="shared" ref="AG14" si="1">SUM(B14:AF14)</f>
        <v>177</v>
      </c>
      <c r="AH14" s="25">
        <f>AVRIL!AH14+AG14</f>
        <v>240</v>
      </c>
    </row>
    <row r="15" ht="25.35" customHeight="1" spans="1:34">
      <c r="A15" s="5" t="s">
        <v>17</v>
      </c>
      <c r="B15" s="6">
        <v>0</v>
      </c>
      <c r="C15" s="6">
        <v>0</v>
      </c>
      <c r="D15" s="6">
        <v>21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15</v>
      </c>
      <c r="K15" s="6">
        <v>2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16</v>
      </c>
      <c r="T15" s="6">
        <v>0</v>
      </c>
      <c r="U15" s="6">
        <v>0</v>
      </c>
      <c r="V15" s="6">
        <v>23</v>
      </c>
      <c r="W15" s="6">
        <v>0</v>
      </c>
      <c r="X15" s="6">
        <v>6</v>
      </c>
      <c r="Y15" s="6">
        <v>10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25">
        <f t="shared" si="0"/>
        <v>93</v>
      </c>
      <c r="AH15" s="25">
        <f>AVRIL!AH15+AG15</f>
        <v>163</v>
      </c>
    </row>
    <row r="16" ht="25.35" customHeight="1" spans="1:34">
      <c r="A16" s="5" t="s">
        <v>18</v>
      </c>
      <c r="B16" s="6">
        <v>1</v>
      </c>
      <c r="C16" s="6">
        <v>0</v>
      </c>
      <c r="D16" s="6">
        <v>50</v>
      </c>
      <c r="E16" s="6">
        <v>4</v>
      </c>
      <c r="F16" s="6">
        <v>0</v>
      </c>
      <c r="G16" s="6">
        <v>0</v>
      </c>
      <c r="H16" s="6">
        <v>1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20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36</v>
      </c>
      <c r="W16" s="6">
        <v>0</v>
      </c>
      <c r="X16" s="6">
        <v>0</v>
      </c>
      <c r="Y16" s="6">
        <v>29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25">
        <f t="shared" si="0"/>
        <v>141</v>
      </c>
      <c r="AH16" s="25">
        <f>AVRIL!AH16+AG16</f>
        <v>253</v>
      </c>
    </row>
    <row r="17" ht="25.35" customHeight="1" spans="1:34">
      <c r="A17" s="5" t="s">
        <v>13</v>
      </c>
      <c r="B17" s="6">
        <v>0</v>
      </c>
      <c r="C17" s="6">
        <v>0</v>
      </c>
      <c r="D17" s="6">
        <v>3</v>
      </c>
      <c r="E17" s="6">
        <v>0</v>
      </c>
      <c r="F17" s="6">
        <v>0</v>
      </c>
      <c r="G17" s="6">
        <v>0</v>
      </c>
      <c r="H17" s="6">
        <v>4</v>
      </c>
      <c r="I17" s="6">
        <v>0</v>
      </c>
      <c r="J17" s="6">
        <v>0</v>
      </c>
      <c r="K17" s="6">
        <v>0</v>
      </c>
      <c r="L17" s="6">
        <v>0</v>
      </c>
      <c r="M17" s="6">
        <v>8</v>
      </c>
      <c r="N17" s="6">
        <v>0</v>
      </c>
      <c r="O17" s="6">
        <v>3</v>
      </c>
      <c r="P17" s="6">
        <v>5</v>
      </c>
      <c r="Q17" s="6">
        <v>0</v>
      </c>
      <c r="R17" s="6">
        <v>3</v>
      </c>
      <c r="S17" s="6">
        <v>2</v>
      </c>
      <c r="T17" s="6">
        <v>3</v>
      </c>
      <c r="U17" s="6">
        <v>0</v>
      </c>
      <c r="V17" s="6">
        <v>12</v>
      </c>
      <c r="W17" s="6">
        <v>0</v>
      </c>
      <c r="X17" s="6">
        <v>0</v>
      </c>
      <c r="Y17" s="6">
        <v>18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25">
        <f t="shared" si="0"/>
        <v>61</v>
      </c>
      <c r="AH17" s="25">
        <f>AVRIL!AH17+AG17</f>
        <v>126</v>
      </c>
    </row>
  </sheetData>
  <mergeCells count="2">
    <mergeCell ref="A3:AH3"/>
    <mergeCell ref="A5:AH5"/>
  </mergeCells>
  <pageMargins left="0.31496062992126" right="0.31496062992126" top="0.748031496062992" bottom="0.748031496062992" header="0.31496062992126" footer="0.31496062992126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AH17"/>
  <sheetViews>
    <sheetView topLeftCell="A7" workbookViewId="0">
      <selection activeCell="AK11" sqref="AK11"/>
    </sheetView>
  </sheetViews>
  <sheetFormatPr defaultColWidth="11" defaultRowHeight="15"/>
  <cols>
    <col min="1" max="1" width="10" customWidth="1"/>
    <col min="2" max="32" width="3.71428571428571" customWidth="1"/>
    <col min="33" max="33" width="8" customWidth="1"/>
    <col min="34" max="34" width="6.71428571428571" customWidth="1"/>
  </cols>
  <sheetData>
    <row r="1" ht="17.25" spans="1:1">
      <c r="A1" s="18" t="s">
        <v>0</v>
      </c>
    </row>
    <row r="3" ht="15.75" spans="1:34">
      <c r="A3" s="19" t="s">
        <v>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</row>
    <row r="5" ht="15.75" spans="1:34">
      <c r="A5" s="20" t="s">
        <v>22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7" spans="1:34">
      <c r="A7" s="22" t="s">
        <v>3</v>
      </c>
      <c r="B7" s="23">
        <v>1</v>
      </c>
      <c r="C7" s="23">
        <v>2</v>
      </c>
      <c r="D7" s="23">
        <v>3</v>
      </c>
      <c r="E7" s="23">
        <v>4</v>
      </c>
      <c r="F7" s="23">
        <v>5</v>
      </c>
      <c r="G7" s="23">
        <v>6</v>
      </c>
      <c r="H7" s="23">
        <v>7</v>
      </c>
      <c r="I7" s="23">
        <v>8</v>
      </c>
      <c r="J7" s="23">
        <v>9</v>
      </c>
      <c r="K7" s="23">
        <v>10</v>
      </c>
      <c r="L7" s="23">
        <v>11</v>
      </c>
      <c r="M7" s="23">
        <v>12</v>
      </c>
      <c r="N7" s="23">
        <v>13</v>
      </c>
      <c r="O7" s="23">
        <v>14</v>
      </c>
      <c r="P7" s="23">
        <v>15</v>
      </c>
      <c r="Q7" s="23">
        <v>16</v>
      </c>
      <c r="R7" s="23">
        <v>17</v>
      </c>
      <c r="S7" s="23">
        <v>18</v>
      </c>
      <c r="T7" s="23">
        <v>19</v>
      </c>
      <c r="U7" s="23">
        <v>20</v>
      </c>
      <c r="V7" s="23">
        <v>21</v>
      </c>
      <c r="W7" s="23">
        <v>22</v>
      </c>
      <c r="X7" s="23">
        <v>23</v>
      </c>
      <c r="Y7" s="23">
        <v>24</v>
      </c>
      <c r="Z7" s="23">
        <v>25</v>
      </c>
      <c r="AA7" s="23">
        <v>26</v>
      </c>
      <c r="AB7" s="23">
        <v>27</v>
      </c>
      <c r="AC7" s="23">
        <v>28</v>
      </c>
      <c r="AD7" s="23">
        <v>29</v>
      </c>
      <c r="AE7" s="23">
        <v>30</v>
      </c>
      <c r="AF7" s="23">
        <v>31</v>
      </c>
      <c r="AG7" s="24" t="s">
        <v>4</v>
      </c>
      <c r="AH7" s="24" t="s">
        <v>15</v>
      </c>
    </row>
    <row r="8" ht="25.35" customHeight="1" spans="1:34">
      <c r="A8" s="5" t="s">
        <v>5</v>
      </c>
      <c r="B8" s="6">
        <v>0</v>
      </c>
      <c r="C8" s="6">
        <v>0</v>
      </c>
      <c r="D8" s="6">
        <v>0</v>
      </c>
      <c r="E8" s="6">
        <v>0</v>
      </c>
      <c r="F8" s="6">
        <v>3</v>
      </c>
      <c r="G8" s="6">
        <v>0</v>
      </c>
      <c r="H8" s="6">
        <v>0</v>
      </c>
      <c r="I8" s="6">
        <v>32</v>
      </c>
      <c r="J8" s="6">
        <v>0</v>
      </c>
      <c r="K8" s="6">
        <v>2</v>
      </c>
      <c r="L8" s="6">
        <v>0</v>
      </c>
      <c r="M8" s="6">
        <v>20</v>
      </c>
      <c r="N8" s="6">
        <v>0</v>
      </c>
      <c r="O8" s="6">
        <v>4</v>
      </c>
      <c r="P8" s="6">
        <v>0</v>
      </c>
      <c r="Q8" s="6">
        <v>0</v>
      </c>
      <c r="R8" s="6">
        <v>46</v>
      </c>
      <c r="S8" s="6">
        <v>7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2</v>
      </c>
      <c r="Z8" s="6">
        <v>56</v>
      </c>
      <c r="AA8" s="6">
        <v>0</v>
      </c>
      <c r="AB8" s="6">
        <v>0</v>
      </c>
      <c r="AC8" s="6">
        <v>32</v>
      </c>
      <c r="AD8" s="6">
        <v>0</v>
      </c>
      <c r="AE8" s="6">
        <v>1</v>
      </c>
      <c r="AF8" s="6"/>
      <c r="AG8" s="25">
        <f>SUM(B8:AF8)</f>
        <v>205</v>
      </c>
      <c r="AH8" s="25">
        <f>MAI!AH8+AG8</f>
        <v>241</v>
      </c>
    </row>
    <row r="9" ht="25.35" customHeight="1" spans="1:34">
      <c r="A9" s="5" t="s">
        <v>6</v>
      </c>
      <c r="B9" s="6">
        <v>0</v>
      </c>
      <c r="C9" s="6">
        <v>1</v>
      </c>
      <c r="D9" s="6">
        <v>0</v>
      </c>
      <c r="E9" s="6">
        <v>0</v>
      </c>
      <c r="F9" s="6">
        <v>7</v>
      </c>
      <c r="G9" s="6">
        <v>0</v>
      </c>
      <c r="H9" s="6">
        <v>0</v>
      </c>
      <c r="I9" s="6">
        <v>0</v>
      </c>
      <c r="J9" s="6">
        <v>0</v>
      </c>
      <c r="K9" s="6">
        <v>5</v>
      </c>
      <c r="L9" s="6">
        <v>0</v>
      </c>
      <c r="M9" s="6">
        <v>4</v>
      </c>
      <c r="N9" s="6">
        <v>0</v>
      </c>
      <c r="O9" s="6">
        <v>0</v>
      </c>
      <c r="P9" s="6">
        <v>1</v>
      </c>
      <c r="Q9" s="6">
        <v>0</v>
      </c>
      <c r="R9" s="6">
        <v>17</v>
      </c>
      <c r="S9" s="6">
        <v>3</v>
      </c>
      <c r="T9" s="6">
        <v>8</v>
      </c>
      <c r="U9" s="6">
        <v>0</v>
      </c>
      <c r="V9" s="6">
        <v>1</v>
      </c>
      <c r="W9" s="6">
        <v>0</v>
      </c>
      <c r="X9" s="6">
        <v>0</v>
      </c>
      <c r="Y9" s="6">
        <v>0</v>
      </c>
      <c r="Z9" s="6">
        <v>9</v>
      </c>
      <c r="AA9" s="6">
        <v>0</v>
      </c>
      <c r="AB9" s="6">
        <v>0</v>
      </c>
      <c r="AC9" s="6">
        <v>29</v>
      </c>
      <c r="AD9" s="6">
        <v>2</v>
      </c>
      <c r="AE9" s="6">
        <v>3</v>
      </c>
      <c r="AF9" s="6"/>
      <c r="AG9" s="25">
        <f t="shared" ref="AG9:AG17" si="0">SUM(B9:AF9)</f>
        <v>90</v>
      </c>
      <c r="AH9" s="25">
        <f>MAI!AH9+AG9</f>
        <v>172</v>
      </c>
    </row>
    <row r="10" ht="25.35" customHeight="1" spans="1:34">
      <c r="A10" s="5" t="s">
        <v>7</v>
      </c>
      <c r="B10" s="6">
        <v>6</v>
      </c>
      <c r="C10" s="6">
        <v>0</v>
      </c>
      <c r="D10" s="6">
        <v>0</v>
      </c>
      <c r="E10" s="6">
        <v>0</v>
      </c>
      <c r="F10" s="6">
        <v>7</v>
      </c>
      <c r="G10" s="6">
        <v>0</v>
      </c>
      <c r="H10" s="6">
        <v>0</v>
      </c>
      <c r="I10" s="6">
        <v>0</v>
      </c>
      <c r="J10" s="6">
        <v>0</v>
      </c>
      <c r="K10" s="6">
        <v>3</v>
      </c>
      <c r="L10" s="6">
        <v>0</v>
      </c>
      <c r="M10" s="6">
        <v>0</v>
      </c>
      <c r="N10" s="6">
        <v>0</v>
      </c>
      <c r="O10" s="6">
        <v>5</v>
      </c>
      <c r="P10" s="6">
        <v>0</v>
      </c>
      <c r="Q10" s="6">
        <v>0</v>
      </c>
      <c r="R10" s="6">
        <v>23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35</v>
      </c>
      <c r="AA10" s="6">
        <v>0</v>
      </c>
      <c r="AB10" s="6">
        <v>0</v>
      </c>
      <c r="AC10" s="6">
        <v>26</v>
      </c>
      <c r="AD10" s="6">
        <v>3</v>
      </c>
      <c r="AE10" s="6">
        <v>0</v>
      </c>
      <c r="AF10" s="6"/>
      <c r="AG10" s="25">
        <f t="shared" si="0"/>
        <v>108</v>
      </c>
      <c r="AH10" s="25">
        <f>MAI!AH10+AG10</f>
        <v>177</v>
      </c>
    </row>
    <row r="11" ht="25.35" customHeight="1" spans="1:34">
      <c r="A11" s="5" t="s">
        <v>8</v>
      </c>
      <c r="B11" s="6">
        <v>19</v>
      </c>
      <c r="C11" s="6">
        <v>0</v>
      </c>
      <c r="D11" s="6">
        <v>0</v>
      </c>
      <c r="E11" s="6">
        <v>0</v>
      </c>
      <c r="F11" s="6">
        <v>7</v>
      </c>
      <c r="G11" s="6">
        <v>0</v>
      </c>
      <c r="H11" s="6">
        <v>0</v>
      </c>
      <c r="I11" s="6">
        <v>0</v>
      </c>
      <c r="J11" s="6">
        <v>0</v>
      </c>
      <c r="K11" s="6">
        <v>17</v>
      </c>
      <c r="L11" s="6">
        <v>0</v>
      </c>
      <c r="M11" s="6">
        <v>13</v>
      </c>
      <c r="N11" s="6">
        <v>0</v>
      </c>
      <c r="O11" s="6">
        <v>0</v>
      </c>
      <c r="P11" s="6">
        <v>0</v>
      </c>
      <c r="Q11" s="6">
        <v>6</v>
      </c>
      <c r="R11" s="6">
        <v>48</v>
      </c>
      <c r="S11" s="6">
        <v>0</v>
      </c>
      <c r="T11" s="6">
        <v>19</v>
      </c>
      <c r="U11" s="6">
        <v>0</v>
      </c>
      <c r="V11" s="6">
        <v>1</v>
      </c>
      <c r="W11" s="6">
        <v>0</v>
      </c>
      <c r="X11" s="6">
        <v>0</v>
      </c>
      <c r="Y11" s="6">
        <v>0</v>
      </c>
      <c r="Z11" s="6">
        <v>42</v>
      </c>
      <c r="AA11" s="6">
        <v>0</v>
      </c>
      <c r="AB11" s="6">
        <v>0</v>
      </c>
      <c r="AC11" s="6">
        <v>4</v>
      </c>
      <c r="AD11" s="6">
        <v>0</v>
      </c>
      <c r="AE11" s="6">
        <v>0</v>
      </c>
      <c r="AF11" s="6"/>
      <c r="AG11" s="25">
        <f t="shared" si="0"/>
        <v>176</v>
      </c>
      <c r="AH11" s="25">
        <f>MAI!AH11+AG11</f>
        <v>254</v>
      </c>
    </row>
    <row r="12" ht="25.35" customHeight="1" spans="1:34">
      <c r="A12" s="5" t="s">
        <v>9</v>
      </c>
      <c r="B12" s="6">
        <v>2</v>
      </c>
      <c r="C12" s="6">
        <v>0</v>
      </c>
      <c r="D12" s="6">
        <v>0</v>
      </c>
      <c r="E12" s="6">
        <v>0</v>
      </c>
      <c r="F12" s="6">
        <v>20</v>
      </c>
      <c r="G12" s="6">
        <v>0</v>
      </c>
      <c r="H12" s="6">
        <v>0</v>
      </c>
      <c r="I12" s="6">
        <v>0</v>
      </c>
      <c r="J12" s="6">
        <v>0</v>
      </c>
      <c r="K12" s="6">
        <v>7</v>
      </c>
      <c r="L12" s="6">
        <v>0</v>
      </c>
      <c r="M12" s="6">
        <v>0</v>
      </c>
      <c r="N12" s="6">
        <v>1</v>
      </c>
      <c r="O12" s="6">
        <v>0</v>
      </c>
      <c r="P12" s="6">
        <v>10</v>
      </c>
      <c r="Q12" s="6">
        <v>0</v>
      </c>
      <c r="R12" s="6">
        <v>15</v>
      </c>
      <c r="S12" s="6">
        <v>21</v>
      </c>
      <c r="T12" s="6">
        <v>0</v>
      </c>
      <c r="U12" s="6">
        <v>0</v>
      </c>
      <c r="V12" s="6">
        <v>20</v>
      </c>
      <c r="W12" s="6">
        <v>0</v>
      </c>
      <c r="X12" s="6">
        <v>0</v>
      </c>
      <c r="Y12" s="6">
        <v>0</v>
      </c>
      <c r="Z12" s="6">
        <v>31</v>
      </c>
      <c r="AA12" s="6">
        <v>0</v>
      </c>
      <c r="AB12" s="6">
        <v>0</v>
      </c>
      <c r="AC12" s="6">
        <v>5</v>
      </c>
      <c r="AD12" s="6">
        <v>0</v>
      </c>
      <c r="AE12" s="6">
        <v>0</v>
      </c>
      <c r="AF12" s="6"/>
      <c r="AG12" s="25">
        <f t="shared" si="0"/>
        <v>132</v>
      </c>
      <c r="AH12" s="25">
        <f>MAI!AH12+AG12</f>
        <v>183</v>
      </c>
    </row>
    <row r="13" ht="25.35" customHeight="1" spans="1:34">
      <c r="A13" s="5" t="s">
        <v>10</v>
      </c>
      <c r="B13" s="6">
        <v>0</v>
      </c>
      <c r="C13" s="6">
        <v>0</v>
      </c>
      <c r="D13" s="6">
        <v>0</v>
      </c>
      <c r="E13" s="6">
        <v>0</v>
      </c>
      <c r="F13" s="6">
        <v>26</v>
      </c>
      <c r="G13" s="6">
        <v>0</v>
      </c>
      <c r="H13" s="6">
        <v>0</v>
      </c>
      <c r="I13" s="6">
        <v>0</v>
      </c>
      <c r="J13" s="6">
        <v>0</v>
      </c>
      <c r="K13" s="6">
        <v>14</v>
      </c>
      <c r="L13" s="6">
        <v>0</v>
      </c>
      <c r="M13" s="6">
        <v>3</v>
      </c>
      <c r="N13" s="6">
        <v>18</v>
      </c>
      <c r="O13" s="6">
        <v>0</v>
      </c>
      <c r="P13" s="6">
        <v>7</v>
      </c>
      <c r="Q13" s="6">
        <v>0</v>
      </c>
      <c r="R13" s="6">
        <v>16</v>
      </c>
      <c r="S13" s="6">
        <v>3</v>
      </c>
      <c r="T13" s="6">
        <v>0</v>
      </c>
      <c r="U13" s="6">
        <v>0</v>
      </c>
      <c r="V13" s="6">
        <v>5</v>
      </c>
      <c r="W13" s="6">
        <v>0</v>
      </c>
      <c r="X13" s="6">
        <v>0</v>
      </c>
      <c r="Y13" s="6">
        <v>0</v>
      </c>
      <c r="Z13" s="6">
        <v>35</v>
      </c>
      <c r="AA13" s="6">
        <v>0</v>
      </c>
      <c r="AB13" s="6">
        <v>0</v>
      </c>
      <c r="AC13" s="6">
        <v>35</v>
      </c>
      <c r="AD13" s="6">
        <v>0</v>
      </c>
      <c r="AE13" s="6">
        <v>0</v>
      </c>
      <c r="AF13" s="6"/>
      <c r="AG13" s="25">
        <f t="shared" si="0"/>
        <v>162</v>
      </c>
      <c r="AH13" s="25">
        <f>MAI!AH13+AG13</f>
        <v>217</v>
      </c>
    </row>
    <row r="14" ht="25.35" customHeight="1" spans="1:34">
      <c r="A14" s="5" t="s">
        <v>16</v>
      </c>
      <c r="B14" s="6">
        <v>28</v>
      </c>
      <c r="C14" s="6">
        <v>0</v>
      </c>
      <c r="D14" s="6">
        <v>0</v>
      </c>
      <c r="E14" s="6">
        <v>0</v>
      </c>
      <c r="F14" s="6">
        <v>36</v>
      </c>
      <c r="G14" s="6">
        <v>0</v>
      </c>
      <c r="H14" s="6">
        <v>0</v>
      </c>
      <c r="I14" s="6">
        <v>3</v>
      </c>
      <c r="J14" s="6">
        <v>0</v>
      </c>
      <c r="K14" s="6">
        <v>26</v>
      </c>
      <c r="L14" s="6">
        <v>0</v>
      </c>
      <c r="M14" s="6">
        <v>0</v>
      </c>
      <c r="N14" s="6">
        <v>19</v>
      </c>
      <c r="O14" s="6">
        <v>0</v>
      </c>
      <c r="P14" s="6">
        <v>1</v>
      </c>
      <c r="Q14" s="6">
        <v>0</v>
      </c>
      <c r="R14" s="6">
        <v>0</v>
      </c>
      <c r="S14" s="6">
        <v>58</v>
      </c>
      <c r="T14" s="6">
        <v>0</v>
      </c>
      <c r="U14" s="6">
        <v>0</v>
      </c>
      <c r="V14" s="6">
        <v>11</v>
      </c>
      <c r="W14" s="6">
        <v>0</v>
      </c>
      <c r="X14" s="6">
        <v>0</v>
      </c>
      <c r="Y14" s="6">
        <v>0</v>
      </c>
      <c r="Z14" s="6">
        <v>46</v>
      </c>
      <c r="AA14" s="6">
        <v>0</v>
      </c>
      <c r="AB14" s="6">
        <v>0</v>
      </c>
      <c r="AC14" s="6">
        <v>30</v>
      </c>
      <c r="AD14" s="6">
        <v>2</v>
      </c>
      <c r="AE14" s="6">
        <v>0</v>
      </c>
      <c r="AF14" s="6"/>
      <c r="AG14" s="25">
        <f t="shared" ref="AG14" si="1">SUM(B14:AF14)</f>
        <v>260</v>
      </c>
      <c r="AH14" s="25">
        <f>MAI!AH14+AG14</f>
        <v>500</v>
      </c>
    </row>
    <row r="15" ht="25.35" customHeight="1" spans="1:34">
      <c r="A15" s="5" t="s">
        <v>17</v>
      </c>
      <c r="B15" s="6">
        <v>0</v>
      </c>
      <c r="C15" s="6">
        <v>0</v>
      </c>
      <c r="D15" s="6">
        <v>10</v>
      </c>
      <c r="E15" s="6">
        <v>0</v>
      </c>
      <c r="F15" s="6">
        <v>16</v>
      </c>
      <c r="G15" s="6">
        <v>1</v>
      </c>
      <c r="H15" s="6">
        <v>6</v>
      </c>
      <c r="I15" s="6">
        <v>0</v>
      </c>
      <c r="J15" s="6">
        <v>0</v>
      </c>
      <c r="K15" s="6">
        <v>1</v>
      </c>
      <c r="L15" s="6">
        <v>0</v>
      </c>
      <c r="M15" s="6">
        <v>23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40</v>
      </c>
      <c r="T15" s="6">
        <v>1</v>
      </c>
      <c r="U15" s="6">
        <v>10</v>
      </c>
      <c r="V15" s="6">
        <v>3</v>
      </c>
      <c r="W15" s="6">
        <v>0</v>
      </c>
      <c r="X15" s="6">
        <v>0</v>
      </c>
      <c r="Y15" s="6">
        <v>0</v>
      </c>
      <c r="Z15" s="6">
        <v>2</v>
      </c>
      <c r="AA15" s="6">
        <v>0</v>
      </c>
      <c r="AB15" s="6">
        <v>0</v>
      </c>
      <c r="AC15" s="6">
        <v>20</v>
      </c>
      <c r="AD15" s="6">
        <v>0</v>
      </c>
      <c r="AE15" s="6">
        <v>0</v>
      </c>
      <c r="AF15" s="6"/>
      <c r="AG15" s="25">
        <f t="shared" si="0"/>
        <v>133</v>
      </c>
      <c r="AH15" s="25">
        <f>MAI!AH15+AG15</f>
        <v>296</v>
      </c>
    </row>
    <row r="16" ht="25.35" customHeight="1" spans="1:34">
      <c r="A16" s="5" t="s">
        <v>18</v>
      </c>
      <c r="B16" s="6">
        <v>5</v>
      </c>
      <c r="C16" s="6">
        <v>2</v>
      </c>
      <c r="D16" s="6">
        <v>0</v>
      </c>
      <c r="E16" s="6">
        <v>0</v>
      </c>
      <c r="F16" s="6">
        <v>35</v>
      </c>
      <c r="G16" s="6">
        <v>0</v>
      </c>
      <c r="H16" s="6">
        <v>20</v>
      </c>
      <c r="I16" s="6">
        <v>0</v>
      </c>
      <c r="J16" s="6">
        <v>0</v>
      </c>
      <c r="K16" s="6">
        <v>12</v>
      </c>
      <c r="L16" s="6">
        <v>0</v>
      </c>
      <c r="M16" s="6">
        <v>25</v>
      </c>
      <c r="N16" s="6">
        <v>1</v>
      </c>
      <c r="O16" s="6">
        <v>0</v>
      </c>
      <c r="P16" s="6">
        <v>0</v>
      </c>
      <c r="Q16" s="6">
        <v>0</v>
      </c>
      <c r="R16" s="6">
        <v>1</v>
      </c>
      <c r="S16" s="6">
        <v>19</v>
      </c>
      <c r="T16" s="6">
        <v>36</v>
      </c>
      <c r="U16" s="6">
        <v>24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40</v>
      </c>
      <c r="AD16" s="6">
        <v>12</v>
      </c>
      <c r="AE16" s="6">
        <v>0</v>
      </c>
      <c r="AF16" s="6"/>
      <c r="AG16" s="25">
        <f t="shared" si="0"/>
        <v>232</v>
      </c>
      <c r="AH16" s="25">
        <f>MAI!AH16+AG16</f>
        <v>485</v>
      </c>
    </row>
    <row r="17" ht="25.35" customHeight="1" spans="1:34">
      <c r="A17" s="5" t="s">
        <v>13</v>
      </c>
      <c r="B17" s="6">
        <v>0</v>
      </c>
      <c r="C17" s="6">
        <v>0</v>
      </c>
      <c r="D17" s="6">
        <v>0</v>
      </c>
      <c r="E17" s="6">
        <v>0</v>
      </c>
      <c r="F17" s="6">
        <v>13</v>
      </c>
      <c r="G17" s="6">
        <v>0</v>
      </c>
      <c r="H17" s="6">
        <v>34</v>
      </c>
      <c r="I17" s="6">
        <v>2</v>
      </c>
      <c r="J17" s="6">
        <v>0</v>
      </c>
      <c r="K17" s="6">
        <v>0</v>
      </c>
      <c r="L17" s="6">
        <v>0</v>
      </c>
      <c r="M17" s="6">
        <v>17</v>
      </c>
      <c r="N17" s="6">
        <v>0</v>
      </c>
      <c r="O17" s="6">
        <v>0</v>
      </c>
      <c r="P17" s="6">
        <v>1</v>
      </c>
      <c r="Q17" s="6">
        <v>14</v>
      </c>
      <c r="R17" s="6">
        <v>0</v>
      </c>
      <c r="S17" s="6">
        <v>51</v>
      </c>
      <c r="T17" s="6">
        <v>3</v>
      </c>
      <c r="U17" s="6">
        <v>3</v>
      </c>
      <c r="V17" s="6">
        <v>0</v>
      </c>
      <c r="W17" s="6">
        <v>0</v>
      </c>
      <c r="X17" s="6">
        <v>0</v>
      </c>
      <c r="Y17" s="6">
        <v>0</v>
      </c>
      <c r="Z17" s="6">
        <v>10</v>
      </c>
      <c r="AA17" s="6">
        <v>0</v>
      </c>
      <c r="AB17" s="6">
        <v>0</v>
      </c>
      <c r="AC17" s="6">
        <v>2</v>
      </c>
      <c r="AD17" s="6">
        <v>12</v>
      </c>
      <c r="AE17" s="6">
        <v>0</v>
      </c>
      <c r="AF17" s="6"/>
      <c r="AG17" s="25">
        <f t="shared" si="0"/>
        <v>162</v>
      </c>
      <c r="AH17" s="25">
        <f>MAI!AH17+AG17</f>
        <v>288</v>
      </c>
    </row>
  </sheetData>
  <mergeCells count="2">
    <mergeCell ref="A3:AH3"/>
    <mergeCell ref="A5:AH5"/>
  </mergeCells>
  <pageMargins left="0.31496062992126" right="0.31496062992126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AL17"/>
  <sheetViews>
    <sheetView topLeftCell="A3" workbookViewId="0">
      <selection activeCell="AK11" sqref="AK11"/>
    </sheetView>
  </sheetViews>
  <sheetFormatPr defaultColWidth="11" defaultRowHeight="15"/>
  <cols>
    <col min="1" max="1" width="12" customWidth="1"/>
    <col min="2" max="32" width="3.71428571428571" customWidth="1"/>
    <col min="33" max="33" width="6.42857142857143" customWidth="1"/>
    <col min="34" max="34" width="6.28571428571429" customWidth="1"/>
  </cols>
  <sheetData>
    <row r="1" ht="17.25" spans="1:1">
      <c r="A1" s="18" t="s">
        <v>0</v>
      </c>
    </row>
    <row r="3" ht="15.75" spans="1:34">
      <c r="A3" s="19" t="s">
        <v>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</row>
    <row r="5" ht="15.75" spans="1:34">
      <c r="A5" s="20" t="s">
        <v>23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7" spans="1:34">
      <c r="A7" s="22" t="s">
        <v>3</v>
      </c>
      <c r="B7" s="23">
        <v>1</v>
      </c>
      <c r="C7" s="23">
        <v>2</v>
      </c>
      <c r="D7" s="23">
        <v>3</v>
      </c>
      <c r="E7" s="23">
        <v>4</v>
      </c>
      <c r="F7" s="23">
        <v>5</v>
      </c>
      <c r="G7" s="23">
        <v>6</v>
      </c>
      <c r="H7" s="23">
        <v>7</v>
      </c>
      <c r="I7" s="23">
        <v>8</v>
      </c>
      <c r="J7" s="23">
        <v>9</v>
      </c>
      <c r="K7" s="23">
        <v>10</v>
      </c>
      <c r="L7" s="23">
        <v>11</v>
      </c>
      <c r="M7" s="23">
        <v>12</v>
      </c>
      <c r="N7" s="23">
        <v>13</v>
      </c>
      <c r="O7" s="23">
        <v>14</v>
      </c>
      <c r="P7" s="23">
        <v>15</v>
      </c>
      <c r="Q7" s="23">
        <v>16</v>
      </c>
      <c r="R7" s="23">
        <v>17</v>
      </c>
      <c r="S7" s="23">
        <v>18</v>
      </c>
      <c r="T7" s="23">
        <v>19</v>
      </c>
      <c r="U7" s="23">
        <v>20</v>
      </c>
      <c r="V7" s="23">
        <v>21</v>
      </c>
      <c r="W7" s="23">
        <v>22</v>
      </c>
      <c r="X7" s="23">
        <v>23</v>
      </c>
      <c r="Y7" s="23">
        <v>24</v>
      </c>
      <c r="Z7" s="23">
        <v>25</v>
      </c>
      <c r="AA7" s="23">
        <v>26</v>
      </c>
      <c r="AB7" s="23">
        <v>27</v>
      </c>
      <c r="AC7" s="23">
        <v>28</v>
      </c>
      <c r="AD7" s="23">
        <v>29</v>
      </c>
      <c r="AE7" s="23">
        <v>30</v>
      </c>
      <c r="AF7" s="23">
        <v>31</v>
      </c>
      <c r="AG7" s="24" t="s">
        <v>4</v>
      </c>
      <c r="AH7" s="24" t="s">
        <v>15</v>
      </c>
    </row>
    <row r="8" ht="25.35" customHeight="1" spans="1:37">
      <c r="A8" s="5" t="s">
        <v>5</v>
      </c>
      <c r="B8" s="26">
        <v>0</v>
      </c>
      <c r="C8" s="26">
        <v>0</v>
      </c>
      <c r="D8" s="26">
        <v>0</v>
      </c>
      <c r="E8" s="26">
        <v>0</v>
      </c>
      <c r="F8" s="26">
        <v>4</v>
      </c>
      <c r="G8" s="26">
        <v>0</v>
      </c>
      <c r="H8" s="26">
        <v>0</v>
      </c>
      <c r="I8" s="26">
        <v>0</v>
      </c>
      <c r="J8" s="26">
        <v>9</v>
      </c>
      <c r="K8" s="26">
        <v>0</v>
      </c>
      <c r="L8" s="13">
        <v>0</v>
      </c>
      <c r="M8" s="13">
        <v>10</v>
      </c>
      <c r="N8" s="13">
        <v>0</v>
      </c>
      <c r="O8" s="13">
        <v>42</v>
      </c>
      <c r="P8" s="13">
        <v>0</v>
      </c>
      <c r="Q8" s="13">
        <v>2</v>
      </c>
      <c r="R8" s="13">
        <v>0</v>
      </c>
      <c r="S8" s="13">
        <v>0</v>
      </c>
      <c r="T8" s="13">
        <v>8</v>
      </c>
      <c r="U8" s="13">
        <v>0</v>
      </c>
      <c r="V8" s="27">
        <v>0</v>
      </c>
      <c r="W8" s="27">
        <v>0</v>
      </c>
      <c r="X8" s="27">
        <v>20</v>
      </c>
      <c r="Y8" s="27">
        <v>0</v>
      </c>
      <c r="Z8" s="27">
        <v>2</v>
      </c>
      <c r="AA8" s="27">
        <v>16</v>
      </c>
      <c r="AB8" s="27">
        <v>0</v>
      </c>
      <c r="AC8" s="27">
        <v>5</v>
      </c>
      <c r="AD8" s="27">
        <v>33</v>
      </c>
      <c r="AE8" s="27">
        <v>0</v>
      </c>
      <c r="AF8" s="27">
        <v>0</v>
      </c>
      <c r="AG8" s="25">
        <f>SUM(B8:AF8)</f>
        <v>151</v>
      </c>
      <c r="AH8" s="25">
        <f>JUIN!AH8+AG8</f>
        <v>392</v>
      </c>
      <c r="AI8">
        <f>COUNT(B8,C8,D8,E8,F8,G8,H8,I8,J8,K8,L8,N8,P8,Q8,R8,S8,T8,U8,V8,W8,Y8,Z8,AB8,AE8,AF8)</f>
        <v>25</v>
      </c>
      <c r="AK8">
        <f>COUNT(B8,C8,D8,E8,F8,G8,H8,I8,K8,L8,N8,P8,Q8,R8,S8,U8,V8,W8,Y8,Z8,AB8,AE8,AF8)</f>
        <v>23</v>
      </c>
    </row>
    <row r="9" ht="25.35" customHeight="1" spans="1:37">
      <c r="A9" s="5" t="s">
        <v>6</v>
      </c>
      <c r="B9" s="26">
        <v>0</v>
      </c>
      <c r="C9" s="26">
        <v>0</v>
      </c>
      <c r="D9" s="26">
        <v>1</v>
      </c>
      <c r="E9" s="26">
        <v>0</v>
      </c>
      <c r="F9" s="26">
        <v>0</v>
      </c>
      <c r="G9" s="26">
        <v>0</v>
      </c>
      <c r="H9" s="26">
        <v>1</v>
      </c>
      <c r="I9" s="26">
        <v>0</v>
      </c>
      <c r="J9" s="26">
        <v>0</v>
      </c>
      <c r="K9" s="26">
        <v>0</v>
      </c>
      <c r="L9" s="13">
        <v>3</v>
      </c>
      <c r="M9" s="13">
        <v>2</v>
      </c>
      <c r="N9" s="13">
        <v>0</v>
      </c>
      <c r="O9" s="13">
        <v>52</v>
      </c>
      <c r="P9" s="13">
        <v>0</v>
      </c>
      <c r="Q9" s="13">
        <v>0</v>
      </c>
      <c r="R9" s="13">
        <v>0</v>
      </c>
      <c r="S9" s="13">
        <v>0</v>
      </c>
      <c r="T9" s="13">
        <v>12</v>
      </c>
      <c r="U9" s="13">
        <v>0</v>
      </c>
      <c r="V9" s="27">
        <v>0</v>
      </c>
      <c r="W9" s="27">
        <v>38</v>
      </c>
      <c r="X9" s="27">
        <v>42</v>
      </c>
      <c r="Y9" s="27">
        <v>0</v>
      </c>
      <c r="Z9" s="27">
        <v>36</v>
      </c>
      <c r="AA9" s="27">
        <v>20</v>
      </c>
      <c r="AB9" s="27">
        <v>0</v>
      </c>
      <c r="AC9" s="27">
        <v>0</v>
      </c>
      <c r="AD9" s="27">
        <v>48</v>
      </c>
      <c r="AE9" s="27">
        <v>0</v>
      </c>
      <c r="AF9" s="27">
        <v>0</v>
      </c>
      <c r="AG9" s="25">
        <f t="shared" ref="AG9:AG17" si="0">SUM(B9:AF9)</f>
        <v>255</v>
      </c>
      <c r="AH9" s="25">
        <f>JUIN!AH9+AG9</f>
        <v>427</v>
      </c>
      <c r="AI9">
        <f>COUNT(B9,C9,D9,E9,F9,G9,H9,I9,J9,K9,L9,M9,N9,P9,Q9,R9,S9,U9,V9,Y9,AB9,AC9,AE9,AF9)</f>
        <v>24</v>
      </c>
      <c r="AK9">
        <f>COUNT(B9,C9,D9,E9,F9,G9,H9,I9,J9,K9,L9,M9,N9,P9,Q9,R9,S9,U9,V9,Y9,AB9,AC9,AE9,AF9)</f>
        <v>24</v>
      </c>
    </row>
    <row r="10" ht="25.35" customHeight="1" spans="1:37">
      <c r="A10" s="5" t="s">
        <v>7</v>
      </c>
      <c r="B10" s="26">
        <v>0</v>
      </c>
      <c r="C10" s="26">
        <v>0</v>
      </c>
      <c r="D10" s="26">
        <v>11</v>
      </c>
      <c r="E10" s="26">
        <v>0</v>
      </c>
      <c r="F10" s="26">
        <v>0</v>
      </c>
      <c r="G10" s="26">
        <v>0</v>
      </c>
      <c r="H10" s="26">
        <v>5</v>
      </c>
      <c r="I10" s="26">
        <v>0</v>
      </c>
      <c r="J10" s="26">
        <v>0</v>
      </c>
      <c r="K10" s="26">
        <v>0</v>
      </c>
      <c r="L10" s="13">
        <v>3</v>
      </c>
      <c r="M10" s="13">
        <v>0</v>
      </c>
      <c r="N10" s="13">
        <v>10</v>
      </c>
      <c r="O10" s="13">
        <v>25</v>
      </c>
      <c r="P10" s="13">
        <v>0</v>
      </c>
      <c r="Q10" s="13">
        <v>0</v>
      </c>
      <c r="R10" s="13">
        <v>1</v>
      </c>
      <c r="S10" s="13">
        <v>0</v>
      </c>
      <c r="T10" s="13">
        <v>0</v>
      </c>
      <c r="U10" s="13">
        <v>0</v>
      </c>
      <c r="V10" s="27">
        <v>0</v>
      </c>
      <c r="W10" s="27">
        <v>3</v>
      </c>
      <c r="X10" s="27">
        <v>21</v>
      </c>
      <c r="Y10" s="27">
        <v>0</v>
      </c>
      <c r="Z10" s="27">
        <v>0</v>
      </c>
      <c r="AA10" s="27">
        <v>50</v>
      </c>
      <c r="AB10" s="27">
        <v>0</v>
      </c>
      <c r="AC10" s="27">
        <v>0</v>
      </c>
      <c r="AD10" s="27">
        <v>55</v>
      </c>
      <c r="AE10" s="27">
        <v>0</v>
      </c>
      <c r="AF10" s="27">
        <v>0</v>
      </c>
      <c r="AG10" s="25">
        <f t="shared" si="0"/>
        <v>184</v>
      </c>
      <c r="AH10" s="25">
        <f>JUIN!AH10+AG10</f>
        <v>361</v>
      </c>
      <c r="AI10" s="28">
        <f>COUNT(B10,C10,E10,F10,G10,H10,I10,J10,K10,L10,M10,P10,Q10,R10,S10,T10,U10,V10,W10,Y10,Z10,AB10,AC10,AE10,AF10)</f>
        <v>25</v>
      </c>
      <c r="AK10">
        <f>COUNT(B10,C10,E10,F10,G10,I10,J10,K10,L10,M10,P10,Q10,R10,S10,T10,U10,V10,W10,Y10,Z10,AB10,AC10,AE10,AF10)</f>
        <v>24</v>
      </c>
    </row>
    <row r="11" ht="25.35" customHeight="1" spans="1:37">
      <c r="A11" s="5" t="s">
        <v>8</v>
      </c>
      <c r="B11" s="26">
        <v>0</v>
      </c>
      <c r="C11" s="26">
        <v>0</v>
      </c>
      <c r="D11" s="26">
        <v>0</v>
      </c>
      <c r="E11" s="26">
        <v>0</v>
      </c>
      <c r="F11" s="26">
        <v>0</v>
      </c>
      <c r="G11" s="26">
        <v>0</v>
      </c>
      <c r="H11" s="26">
        <v>0</v>
      </c>
      <c r="I11" s="26">
        <v>0</v>
      </c>
      <c r="J11" s="26">
        <v>0</v>
      </c>
      <c r="K11" s="26">
        <v>0</v>
      </c>
      <c r="L11" s="13">
        <v>0</v>
      </c>
      <c r="M11" s="13">
        <v>0</v>
      </c>
      <c r="N11" s="13">
        <v>0</v>
      </c>
      <c r="O11" s="13">
        <v>40</v>
      </c>
      <c r="P11" s="13">
        <v>0</v>
      </c>
      <c r="Q11" s="13">
        <v>0</v>
      </c>
      <c r="R11" s="13">
        <v>0</v>
      </c>
      <c r="S11" s="13">
        <v>0</v>
      </c>
      <c r="T11" s="13">
        <v>3</v>
      </c>
      <c r="U11" s="13">
        <v>0</v>
      </c>
      <c r="V11" s="27">
        <v>0</v>
      </c>
      <c r="W11" s="27">
        <v>0</v>
      </c>
      <c r="X11" s="27">
        <v>12</v>
      </c>
      <c r="Y11" s="27">
        <v>0</v>
      </c>
      <c r="Z11" s="27">
        <v>0</v>
      </c>
      <c r="AA11" s="27">
        <v>33</v>
      </c>
      <c r="AB11" s="27">
        <v>0</v>
      </c>
      <c r="AC11" s="27">
        <v>0</v>
      </c>
      <c r="AD11" s="27">
        <v>45</v>
      </c>
      <c r="AE11" s="27">
        <v>0</v>
      </c>
      <c r="AF11" s="27">
        <v>0</v>
      </c>
      <c r="AG11" s="25">
        <f t="shared" si="0"/>
        <v>133</v>
      </c>
      <c r="AH11" s="25">
        <f>JUIN!AH11+AG11</f>
        <v>387</v>
      </c>
      <c r="AI11">
        <f>COUNT(B11,C11,D11,E11,F11,G11,H11,I11,J11,K11,L11,M11,N11,P11,Q11,R11,S11,T11,U11,V11,W11,Y11,Z11,AB11,AC11,AE11,AF11)</f>
        <v>27</v>
      </c>
      <c r="AK11">
        <f>COUNT(B11,C11,D11,E11,F11,G11,H11,I11,J11,K11,L11,M11,N11,P11,Q11,R11,S11,T11,U11,V11,W11,Y11,Z11,AB11,AC11,AE11,AF11)</f>
        <v>27</v>
      </c>
    </row>
    <row r="12" ht="25.35" customHeight="1" spans="1:38">
      <c r="A12" s="5" t="s">
        <v>9</v>
      </c>
      <c r="B12" s="26">
        <v>0</v>
      </c>
      <c r="C12" s="26">
        <v>0</v>
      </c>
      <c r="D12" s="26">
        <v>5</v>
      </c>
      <c r="E12" s="26">
        <v>0</v>
      </c>
      <c r="F12" s="26">
        <v>0</v>
      </c>
      <c r="G12" s="26">
        <v>0</v>
      </c>
      <c r="H12" s="26">
        <v>35</v>
      </c>
      <c r="I12" s="26">
        <v>0</v>
      </c>
      <c r="J12" s="26">
        <v>0</v>
      </c>
      <c r="K12" s="26">
        <v>10</v>
      </c>
      <c r="L12" s="13">
        <v>0</v>
      </c>
      <c r="M12" s="13">
        <v>6</v>
      </c>
      <c r="N12" s="13">
        <v>0</v>
      </c>
      <c r="O12" s="13">
        <v>11</v>
      </c>
      <c r="P12" s="13">
        <v>0</v>
      </c>
      <c r="Q12" s="13">
        <v>0</v>
      </c>
      <c r="R12" s="13">
        <v>0</v>
      </c>
      <c r="S12" s="13">
        <v>0</v>
      </c>
      <c r="T12" s="13">
        <v>17</v>
      </c>
      <c r="U12" s="13">
        <v>0</v>
      </c>
      <c r="V12" s="27">
        <v>0</v>
      </c>
      <c r="W12" s="27">
        <v>4</v>
      </c>
      <c r="X12" s="27">
        <v>20</v>
      </c>
      <c r="Y12" s="27">
        <v>0</v>
      </c>
      <c r="Z12" s="27">
        <v>0</v>
      </c>
      <c r="AA12" s="27">
        <v>4</v>
      </c>
      <c r="AB12" s="27">
        <v>0</v>
      </c>
      <c r="AC12" s="27">
        <v>2</v>
      </c>
      <c r="AD12" s="27">
        <v>55</v>
      </c>
      <c r="AE12" s="27">
        <v>0</v>
      </c>
      <c r="AF12" s="27">
        <v>0</v>
      </c>
      <c r="AG12" s="25">
        <f t="shared" si="0"/>
        <v>169</v>
      </c>
      <c r="AH12" s="25">
        <f>JUIN!AH12+AG12</f>
        <v>352</v>
      </c>
      <c r="AI12" s="28">
        <f>COUNT(B12,C12,D12,E12,F12,G12,I12,J12,L12,M12,N12,P12,Q12,R12,S12,U12,V12,W12,Y12,Z12,AA12,AB12,AC12,AE12,AF12)</f>
        <v>25</v>
      </c>
      <c r="AK12">
        <f>COUNT(B12,C12,E12,F12,G12,I12,J12,L12,N12,P12,Q12,R12,S12,U12,V12,W12,Y12,Z12,AA12,AB12,AC12,AE12,AF12)</f>
        <v>23</v>
      </c>
      <c r="AL12" t="s">
        <v>24</v>
      </c>
    </row>
    <row r="13" ht="25.35" customHeight="1" spans="1:37">
      <c r="A13" s="5" t="s">
        <v>10</v>
      </c>
      <c r="B13" s="26">
        <v>0</v>
      </c>
      <c r="C13" s="26">
        <v>0</v>
      </c>
      <c r="D13" s="26">
        <v>0</v>
      </c>
      <c r="E13" s="26">
        <v>9</v>
      </c>
      <c r="F13" s="26">
        <v>0</v>
      </c>
      <c r="G13" s="26">
        <v>0</v>
      </c>
      <c r="H13" s="26">
        <v>0</v>
      </c>
      <c r="I13" s="26">
        <v>0</v>
      </c>
      <c r="J13" s="26">
        <v>11</v>
      </c>
      <c r="K13" s="26">
        <v>10</v>
      </c>
      <c r="L13" s="13">
        <v>0</v>
      </c>
      <c r="M13" s="13">
        <v>0</v>
      </c>
      <c r="N13" s="13">
        <v>0</v>
      </c>
      <c r="O13" s="13">
        <v>13</v>
      </c>
      <c r="P13" s="13">
        <v>0</v>
      </c>
      <c r="Q13" s="13">
        <v>0</v>
      </c>
      <c r="R13" s="13">
        <v>0</v>
      </c>
      <c r="S13" s="13">
        <v>0</v>
      </c>
      <c r="T13" s="13">
        <v>38</v>
      </c>
      <c r="U13" s="13">
        <v>0</v>
      </c>
      <c r="V13" s="27">
        <v>0</v>
      </c>
      <c r="W13" s="27">
        <v>0</v>
      </c>
      <c r="X13" s="27">
        <v>3</v>
      </c>
      <c r="Y13" s="27">
        <v>0</v>
      </c>
      <c r="Z13" s="27">
        <v>0</v>
      </c>
      <c r="AA13" s="27">
        <v>0</v>
      </c>
      <c r="AB13" s="27">
        <v>0</v>
      </c>
      <c r="AC13" s="27">
        <v>0</v>
      </c>
      <c r="AD13" s="27">
        <v>83</v>
      </c>
      <c r="AE13" s="27">
        <v>0</v>
      </c>
      <c r="AF13" s="27">
        <v>11</v>
      </c>
      <c r="AG13" s="25">
        <f t="shared" si="0"/>
        <v>178</v>
      </c>
      <c r="AH13" s="25">
        <f>JUIN!AH13+AG13</f>
        <v>395</v>
      </c>
      <c r="AI13">
        <f>COUNT(B13,C13,D13,E13,F13,G13,H13,I13,L13,M13,N13,P13,Q13,R13,S13,U13,V13,W13,X13,Y13,Z13,AA13,AB13,AC13,AE13)</f>
        <v>25</v>
      </c>
      <c r="AK13">
        <f>COUNT(B13,C13,D13,F13,G13,H13,I13,L13,M13,N13,P13,Q13,R13,S13,U13,V13,W13,X13,Y13,Z13,AA13,AB13,AC13,AE13)</f>
        <v>24</v>
      </c>
    </row>
    <row r="14" ht="25.35" customHeight="1" spans="1:37">
      <c r="A14" s="5" t="s">
        <v>16</v>
      </c>
      <c r="B14" s="26">
        <v>0</v>
      </c>
      <c r="C14" s="26">
        <v>7</v>
      </c>
      <c r="D14" s="26">
        <v>0</v>
      </c>
      <c r="E14" s="26">
        <v>6</v>
      </c>
      <c r="F14" s="26">
        <v>0</v>
      </c>
      <c r="G14" s="26">
        <v>0</v>
      </c>
      <c r="H14" s="26">
        <v>49</v>
      </c>
      <c r="I14" s="26">
        <v>0</v>
      </c>
      <c r="J14" s="26">
        <v>5</v>
      </c>
      <c r="K14" s="26">
        <v>15</v>
      </c>
      <c r="L14" s="13">
        <v>0</v>
      </c>
      <c r="M14" s="13">
        <v>0</v>
      </c>
      <c r="N14" s="13">
        <v>0</v>
      </c>
      <c r="O14" s="13">
        <v>10</v>
      </c>
      <c r="P14" s="13">
        <v>0</v>
      </c>
      <c r="Q14" s="13">
        <v>26</v>
      </c>
      <c r="R14" s="13">
        <v>2</v>
      </c>
      <c r="S14" s="13">
        <v>0</v>
      </c>
      <c r="T14" s="13">
        <v>62</v>
      </c>
      <c r="U14" s="13">
        <v>0</v>
      </c>
      <c r="V14" s="27">
        <v>0</v>
      </c>
      <c r="W14" s="27">
        <v>1</v>
      </c>
      <c r="X14" s="27">
        <v>10</v>
      </c>
      <c r="Y14" s="27">
        <v>0</v>
      </c>
      <c r="Z14" s="27">
        <v>3</v>
      </c>
      <c r="AA14" s="27">
        <v>0</v>
      </c>
      <c r="AB14" s="27">
        <v>0</v>
      </c>
      <c r="AC14" s="27">
        <v>70</v>
      </c>
      <c r="AD14" s="27">
        <v>54</v>
      </c>
      <c r="AE14" s="27">
        <v>0</v>
      </c>
      <c r="AF14" s="27">
        <v>24</v>
      </c>
      <c r="AG14" s="25">
        <f t="shared" ref="AG14" si="1">SUM(B14:AF14)</f>
        <v>344</v>
      </c>
      <c r="AH14" s="25">
        <f>JUIN!AH14+AG14</f>
        <v>844</v>
      </c>
      <c r="AI14" s="28">
        <f>COUNT(B14,C14,D14,E14,F14,G14,I14,J14,L14,M14,N14,P14,R14,S14,U14,V14,W14,Y14,Z14,AA14,AB14,AE14)</f>
        <v>22</v>
      </c>
      <c r="AK14" s="28">
        <f>COUNT(B14,D14,F14,G14,I14,L14,M14,N14,P14,R14,S14,U14,V14,W14,Y14,Z14,AA14,AB14,AE14)</f>
        <v>19</v>
      </c>
    </row>
    <row r="15" ht="25.35" customHeight="1" spans="1:37">
      <c r="A15" s="5" t="s">
        <v>17</v>
      </c>
      <c r="B15" s="26">
        <v>0</v>
      </c>
      <c r="C15" s="26">
        <v>0</v>
      </c>
      <c r="D15" s="26">
        <v>5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8</v>
      </c>
      <c r="K15" s="26">
        <v>2</v>
      </c>
      <c r="L15" s="13">
        <v>17</v>
      </c>
      <c r="M15" s="13">
        <v>21</v>
      </c>
      <c r="N15" s="13">
        <v>6</v>
      </c>
      <c r="O15" s="13">
        <v>6</v>
      </c>
      <c r="P15" s="13">
        <v>14</v>
      </c>
      <c r="Q15" s="13">
        <v>25</v>
      </c>
      <c r="R15" s="13">
        <v>14</v>
      </c>
      <c r="S15" s="13">
        <v>0</v>
      </c>
      <c r="T15" s="13">
        <v>26</v>
      </c>
      <c r="U15" s="13">
        <v>0</v>
      </c>
      <c r="V15" s="27">
        <v>0</v>
      </c>
      <c r="W15" s="27">
        <v>0</v>
      </c>
      <c r="X15" s="27">
        <v>21</v>
      </c>
      <c r="Y15" s="27">
        <v>0</v>
      </c>
      <c r="Z15" s="27">
        <v>0</v>
      </c>
      <c r="AA15" s="27">
        <v>0</v>
      </c>
      <c r="AB15" s="27">
        <v>0</v>
      </c>
      <c r="AC15" s="27">
        <v>17</v>
      </c>
      <c r="AD15" s="27">
        <v>38</v>
      </c>
      <c r="AE15" s="27">
        <v>0</v>
      </c>
      <c r="AF15" s="27">
        <v>0</v>
      </c>
      <c r="AG15" s="25">
        <f t="shared" si="0"/>
        <v>220</v>
      </c>
      <c r="AH15" s="25">
        <f>JUIN!AH15+AG15</f>
        <v>516</v>
      </c>
      <c r="AI15">
        <f>COUNT(B15,C15,D15,E15,F15,G15,H15,I15,J15,K15,N15,O15,S15,U15,V15,W15,Y15,Z15,AA15,AB15,AE15,AF15)</f>
        <v>22</v>
      </c>
      <c r="AK15">
        <f>COUNT(B15,C15,E15,F15,G15,H15,I15,K15,S15,U15,V15,W15,Y15,Z15,AA15,AB15,AE15,AF15)</f>
        <v>18</v>
      </c>
    </row>
    <row r="16" ht="25.35" customHeight="1" spans="1:37">
      <c r="A16" s="5" t="s">
        <v>18</v>
      </c>
      <c r="B16" s="26">
        <v>0</v>
      </c>
      <c r="C16" s="26">
        <v>0</v>
      </c>
      <c r="D16" s="26">
        <v>24</v>
      </c>
      <c r="E16" s="26">
        <v>2</v>
      </c>
      <c r="F16" s="26">
        <v>0</v>
      </c>
      <c r="G16" s="26">
        <v>0</v>
      </c>
      <c r="H16" s="26">
        <v>9</v>
      </c>
      <c r="I16" s="26">
        <v>0</v>
      </c>
      <c r="J16" s="26">
        <v>22</v>
      </c>
      <c r="K16" s="26">
        <v>0</v>
      </c>
      <c r="L16" s="13">
        <v>3</v>
      </c>
      <c r="M16" s="13">
        <v>0</v>
      </c>
      <c r="N16" s="13">
        <v>28</v>
      </c>
      <c r="O16" s="13">
        <v>13</v>
      </c>
      <c r="P16" s="13">
        <v>1</v>
      </c>
      <c r="Q16" s="13">
        <v>12</v>
      </c>
      <c r="R16" s="13">
        <v>12</v>
      </c>
      <c r="S16" s="13">
        <v>0</v>
      </c>
      <c r="T16" s="13">
        <v>21</v>
      </c>
      <c r="U16" s="13">
        <v>4</v>
      </c>
      <c r="V16" s="27">
        <v>1</v>
      </c>
      <c r="W16" s="27">
        <v>0</v>
      </c>
      <c r="X16" s="27">
        <v>3</v>
      </c>
      <c r="Y16" s="27">
        <v>15</v>
      </c>
      <c r="Z16" s="27">
        <v>1</v>
      </c>
      <c r="AA16" s="27">
        <v>40</v>
      </c>
      <c r="AB16" s="27">
        <v>0</v>
      </c>
      <c r="AC16" s="27">
        <v>18</v>
      </c>
      <c r="AD16" s="27">
        <v>25</v>
      </c>
      <c r="AE16" s="27">
        <v>0</v>
      </c>
      <c r="AF16" s="27">
        <v>8</v>
      </c>
      <c r="AG16" s="25">
        <f t="shared" si="0"/>
        <v>262</v>
      </c>
      <c r="AH16" s="25">
        <f>JUIN!AH16+AG16</f>
        <v>747</v>
      </c>
      <c r="AI16">
        <f>COUNT(B16,C16,E16,F16,G16,H16,K16,L16,M16,P16,S16,U16,V16,W16,X16,Z16,AB16,AE16,AF16)</f>
        <v>19</v>
      </c>
      <c r="AK16">
        <f>COUNT(B16,C16,E16,F16,G16,I16,K16,L16,M16,P16,S16,U16,V16,W16,X16,Z16,AB16,AE16)</f>
        <v>18</v>
      </c>
    </row>
    <row r="17" ht="25.35" customHeight="1" spans="1:37">
      <c r="A17" s="5" t="s">
        <v>13</v>
      </c>
      <c r="B17" s="26">
        <v>0</v>
      </c>
      <c r="C17" s="26">
        <v>5</v>
      </c>
      <c r="D17" s="26">
        <v>35</v>
      </c>
      <c r="E17" s="26">
        <v>0</v>
      </c>
      <c r="F17" s="26">
        <v>2</v>
      </c>
      <c r="G17" s="26">
        <v>0</v>
      </c>
      <c r="H17" s="26">
        <v>28</v>
      </c>
      <c r="I17" s="26">
        <v>0</v>
      </c>
      <c r="J17" s="26">
        <v>4</v>
      </c>
      <c r="K17" s="26">
        <v>1</v>
      </c>
      <c r="L17" s="13">
        <v>15</v>
      </c>
      <c r="M17" s="13">
        <v>3</v>
      </c>
      <c r="N17" s="13">
        <v>0</v>
      </c>
      <c r="O17" s="13">
        <v>5</v>
      </c>
      <c r="P17" s="13">
        <v>3</v>
      </c>
      <c r="Q17" s="13">
        <v>2</v>
      </c>
      <c r="R17" s="13">
        <v>9</v>
      </c>
      <c r="S17" s="13">
        <v>1</v>
      </c>
      <c r="T17" s="13">
        <v>16</v>
      </c>
      <c r="U17" s="13">
        <v>2</v>
      </c>
      <c r="V17" s="27">
        <v>35</v>
      </c>
      <c r="W17" s="27">
        <v>31</v>
      </c>
      <c r="X17" s="27">
        <v>5</v>
      </c>
      <c r="Y17" s="27">
        <v>1</v>
      </c>
      <c r="Z17" s="27">
        <v>0</v>
      </c>
      <c r="AA17" s="27">
        <v>4</v>
      </c>
      <c r="AB17" s="27">
        <v>0</v>
      </c>
      <c r="AC17" s="27">
        <v>2</v>
      </c>
      <c r="AD17" s="27">
        <v>30</v>
      </c>
      <c r="AE17" s="27">
        <v>0</v>
      </c>
      <c r="AF17" s="27">
        <v>3</v>
      </c>
      <c r="AG17" s="25">
        <f t="shared" si="0"/>
        <v>242</v>
      </c>
      <c r="AH17" s="25">
        <f>JUIN!AH17+AG17</f>
        <v>530</v>
      </c>
      <c r="AI17">
        <f>COUNT(B17,C17,E17,F17,G17,I17,J17,K17,M17,N17,O17,P17,Q17,R17,S17,U17,X17,Y17,Z17,AA17,AB17,AC17,AE17,AF17)</f>
        <v>24</v>
      </c>
      <c r="AK17">
        <f>COUNT(B17,E17,F17,G17,I17,J17,K17,M17,N17,P17,Q17,S17,U17,Y17,AA17,Z17,AB17,AC17,AE17,AF17)</f>
        <v>20</v>
      </c>
    </row>
  </sheetData>
  <mergeCells count="2">
    <mergeCell ref="A3:AH3"/>
    <mergeCell ref="A5:AH5"/>
  </mergeCells>
  <pageMargins left="0.31496062992126" right="0.31496062992126" top="0.748031496062992" bottom="0.748031496062992" header="0.31496062992126" footer="0.31496062992126"/>
  <pageSetup paperSize="9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I17"/>
  <sheetViews>
    <sheetView topLeftCell="A3" workbookViewId="0">
      <selection activeCell="AK11" sqref="AK11"/>
    </sheetView>
  </sheetViews>
  <sheetFormatPr defaultColWidth="11" defaultRowHeight="15"/>
  <cols>
    <col min="1" max="1" width="12" customWidth="1"/>
    <col min="2" max="32" width="3.71428571428571" customWidth="1"/>
    <col min="33" max="33" width="6" customWidth="1"/>
    <col min="34" max="34" width="6.28571428571429" customWidth="1"/>
  </cols>
  <sheetData>
    <row r="1" ht="17.25" spans="1:1">
      <c r="A1" s="18" t="s">
        <v>25</v>
      </c>
    </row>
    <row r="3" ht="15.75" spans="1:34">
      <c r="A3" s="19" t="s">
        <v>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</row>
    <row r="5" ht="15.75" spans="1:34">
      <c r="A5" s="20" t="s">
        <v>26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7" spans="1:34">
      <c r="A7" s="22" t="s">
        <v>3</v>
      </c>
      <c r="B7" s="23">
        <v>1</v>
      </c>
      <c r="C7" s="23">
        <v>2</v>
      </c>
      <c r="D7" s="23">
        <v>3</v>
      </c>
      <c r="E7" s="23">
        <v>4</v>
      </c>
      <c r="F7" s="23">
        <v>5</v>
      </c>
      <c r="G7" s="23">
        <v>6</v>
      </c>
      <c r="H7" s="23">
        <v>7</v>
      </c>
      <c r="I7" s="23">
        <v>8</v>
      </c>
      <c r="J7" s="23">
        <v>9</v>
      </c>
      <c r="K7" s="23">
        <v>10</v>
      </c>
      <c r="L7" s="23">
        <v>11</v>
      </c>
      <c r="M7" s="23">
        <v>12</v>
      </c>
      <c r="N7" s="23">
        <v>13</v>
      </c>
      <c r="O7" s="23">
        <v>14</v>
      </c>
      <c r="P7" s="23">
        <v>15</v>
      </c>
      <c r="Q7" s="23">
        <v>16</v>
      </c>
      <c r="R7" s="23">
        <v>17</v>
      </c>
      <c r="S7" s="23">
        <v>18</v>
      </c>
      <c r="T7" s="23">
        <v>19</v>
      </c>
      <c r="U7" s="23">
        <v>20</v>
      </c>
      <c r="V7" s="23">
        <v>21</v>
      </c>
      <c r="W7" s="23">
        <v>22</v>
      </c>
      <c r="X7" s="23">
        <v>23</v>
      </c>
      <c r="Y7" s="23">
        <v>24</v>
      </c>
      <c r="Z7" s="23">
        <v>25</v>
      </c>
      <c r="AA7" s="23">
        <v>26</v>
      </c>
      <c r="AB7" s="23">
        <v>27</v>
      </c>
      <c r="AC7" s="23">
        <v>28</v>
      </c>
      <c r="AD7" s="23">
        <v>29</v>
      </c>
      <c r="AE7" s="23">
        <v>30</v>
      </c>
      <c r="AF7" s="23">
        <v>31</v>
      </c>
      <c r="AG7" s="24" t="s">
        <v>4</v>
      </c>
      <c r="AH7" s="24" t="s">
        <v>15</v>
      </c>
    </row>
    <row r="8" ht="25.35" customHeight="1" spans="1:35">
      <c r="A8" s="5" t="s">
        <v>5</v>
      </c>
      <c r="B8" s="6">
        <v>0</v>
      </c>
      <c r="C8" s="6">
        <v>39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3</v>
      </c>
      <c r="N8" s="6">
        <v>43</v>
      </c>
      <c r="O8" s="6">
        <v>0</v>
      </c>
      <c r="P8" s="6">
        <v>0</v>
      </c>
      <c r="Q8" s="6">
        <v>3</v>
      </c>
      <c r="R8" s="6">
        <v>2</v>
      </c>
      <c r="S8" s="6">
        <v>0</v>
      </c>
      <c r="T8" s="6">
        <v>11</v>
      </c>
      <c r="U8" s="6">
        <v>2</v>
      </c>
      <c r="V8" s="6">
        <v>0</v>
      </c>
      <c r="W8" s="6">
        <v>37</v>
      </c>
      <c r="X8" s="6">
        <v>0</v>
      </c>
      <c r="Y8" s="6">
        <v>0</v>
      </c>
      <c r="Z8" s="6">
        <v>0</v>
      </c>
      <c r="AA8" s="6">
        <v>1</v>
      </c>
      <c r="AB8" s="6">
        <v>12</v>
      </c>
      <c r="AC8" s="6">
        <v>15</v>
      </c>
      <c r="AD8" s="6">
        <v>1</v>
      </c>
      <c r="AE8" s="6">
        <v>156</v>
      </c>
      <c r="AF8" s="6">
        <v>0</v>
      </c>
      <c r="AG8" s="25">
        <f>SUM(B8:AF8)</f>
        <v>325</v>
      </c>
      <c r="AH8" s="25">
        <f>JUILLET!AH8+AG8</f>
        <v>717</v>
      </c>
      <c r="AI8">
        <f>MIN(B8:AF8)</f>
        <v>0</v>
      </c>
    </row>
    <row r="9" ht="25.35" customHeight="1" spans="1:34">
      <c r="A9" s="5" t="s">
        <v>6</v>
      </c>
      <c r="B9" s="6">
        <v>46</v>
      </c>
      <c r="C9" s="6">
        <v>3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7</v>
      </c>
      <c r="N9" s="6">
        <v>25</v>
      </c>
      <c r="O9" s="6">
        <v>0</v>
      </c>
      <c r="P9" s="6">
        <v>0</v>
      </c>
      <c r="Q9" s="6">
        <v>21</v>
      </c>
      <c r="R9" s="6">
        <v>0</v>
      </c>
      <c r="S9" s="6">
        <v>2</v>
      </c>
      <c r="T9" s="6">
        <v>32</v>
      </c>
      <c r="U9" s="6">
        <v>0</v>
      </c>
      <c r="V9" s="6">
        <v>0</v>
      </c>
      <c r="W9" s="6">
        <v>35</v>
      </c>
      <c r="X9" s="6">
        <v>5</v>
      </c>
      <c r="Y9" s="6">
        <v>0</v>
      </c>
      <c r="Z9" s="6">
        <v>0</v>
      </c>
      <c r="AA9" s="6">
        <v>0</v>
      </c>
      <c r="AB9" s="6">
        <v>18</v>
      </c>
      <c r="AC9" s="6">
        <v>15</v>
      </c>
      <c r="AD9" s="6">
        <v>0</v>
      </c>
      <c r="AE9" s="6">
        <v>30</v>
      </c>
      <c r="AF9" s="6">
        <v>13</v>
      </c>
      <c r="AG9" s="25">
        <f t="shared" ref="AG9:AG17" si="0">SUM(B9:AF9)</f>
        <v>252</v>
      </c>
      <c r="AH9" s="25">
        <f>JUILLET!AH9+AG9</f>
        <v>679</v>
      </c>
    </row>
    <row r="10" ht="25.35" customHeight="1" spans="1:34">
      <c r="A10" s="5" t="s">
        <v>7</v>
      </c>
      <c r="B10" s="6">
        <v>53</v>
      </c>
      <c r="C10" s="6">
        <v>22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40</v>
      </c>
      <c r="N10" s="6">
        <v>0</v>
      </c>
      <c r="O10" s="6">
        <v>0</v>
      </c>
      <c r="P10" s="6">
        <v>5</v>
      </c>
      <c r="Q10" s="6">
        <v>3</v>
      </c>
      <c r="R10" s="6">
        <v>0</v>
      </c>
      <c r="S10" s="6">
        <v>0</v>
      </c>
      <c r="T10" s="6">
        <v>40</v>
      </c>
      <c r="U10" s="6">
        <v>0</v>
      </c>
      <c r="V10" s="6">
        <v>0</v>
      </c>
      <c r="W10" s="6">
        <v>5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85</v>
      </c>
      <c r="AD10" s="6">
        <v>0</v>
      </c>
      <c r="AE10" s="6">
        <v>10</v>
      </c>
      <c r="AF10" s="6">
        <v>0</v>
      </c>
      <c r="AG10" s="25">
        <f t="shared" si="0"/>
        <v>263</v>
      </c>
      <c r="AH10" s="25">
        <f>JUILLET!AH10+AG10</f>
        <v>624</v>
      </c>
    </row>
    <row r="11" ht="25.35" customHeight="1" spans="1:34">
      <c r="A11" s="5" t="s">
        <v>8</v>
      </c>
      <c r="B11" s="6">
        <v>0</v>
      </c>
      <c r="C11" s="6">
        <v>19</v>
      </c>
      <c r="D11" s="6">
        <v>0</v>
      </c>
      <c r="E11" s="6">
        <v>2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16</v>
      </c>
      <c r="O11" s="6">
        <v>0</v>
      </c>
      <c r="P11" s="6">
        <v>0</v>
      </c>
      <c r="Q11" s="6">
        <v>3</v>
      </c>
      <c r="R11" s="6">
        <v>0</v>
      </c>
      <c r="S11" s="6">
        <v>2</v>
      </c>
      <c r="T11" s="6">
        <v>11</v>
      </c>
      <c r="U11" s="6">
        <v>4</v>
      </c>
      <c r="V11" s="6">
        <v>0</v>
      </c>
      <c r="W11" s="6">
        <v>13</v>
      </c>
      <c r="X11" s="6">
        <v>0</v>
      </c>
      <c r="Y11" s="6">
        <v>0</v>
      </c>
      <c r="Z11" s="6">
        <v>31</v>
      </c>
      <c r="AA11" s="6">
        <v>0</v>
      </c>
      <c r="AB11" s="6">
        <v>0</v>
      </c>
      <c r="AC11" s="6">
        <v>8</v>
      </c>
      <c r="AD11" s="6">
        <v>0</v>
      </c>
      <c r="AE11" s="6">
        <v>16</v>
      </c>
      <c r="AF11" s="6">
        <v>4</v>
      </c>
      <c r="AG11" s="25">
        <f t="shared" si="0"/>
        <v>129</v>
      </c>
      <c r="AH11" s="25">
        <f>JUILLET!AH11+AG11</f>
        <v>516</v>
      </c>
    </row>
    <row r="12" ht="25.35" customHeight="1" spans="1:34">
      <c r="A12" s="5" t="s">
        <v>9</v>
      </c>
      <c r="B12" s="6">
        <v>6</v>
      </c>
      <c r="C12" s="6">
        <v>30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8</v>
      </c>
      <c r="U12" s="6">
        <v>0</v>
      </c>
      <c r="V12" s="6">
        <v>0</v>
      </c>
      <c r="W12" s="6">
        <v>5</v>
      </c>
      <c r="X12" s="6">
        <v>25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25">
        <f t="shared" si="0"/>
        <v>74</v>
      </c>
      <c r="AH12" s="25">
        <f>JUILLET!AH12+AG12</f>
        <v>426</v>
      </c>
    </row>
    <row r="13" ht="25.35" customHeight="1" spans="1:34">
      <c r="A13" s="5" t="s">
        <v>10</v>
      </c>
      <c r="B13" s="6">
        <v>15</v>
      </c>
      <c r="C13" s="6">
        <v>62</v>
      </c>
      <c r="D13" s="6">
        <v>4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9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20</v>
      </c>
      <c r="V13" s="6">
        <v>0</v>
      </c>
      <c r="W13" s="6">
        <v>11</v>
      </c>
      <c r="X13" s="6">
        <v>13</v>
      </c>
      <c r="Y13" s="6">
        <v>0</v>
      </c>
      <c r="Z13" s="6">
        <v>0</v>
      </c>
      <c r="AA13" s="6">
        <v>0</v>
      </c>
      <c r="AB13" s="6">
        <v>13</v>
      </c>
      <c r="AC13" s="6">
        <v>0</v>
      </c>
      <c r="AD13" s="6">
        <v>0</v>
      </c>
      <c r="AE13" s="6">
        <v>0</v>
      </c>
      <c r="AF13" s="6">
        <v>0</v>
      </c>
      <c r="AG13" s="25">
        <f t="shared" si="0"/>
        <v>147</v>
      </c>
      <c r="AH13" s="25">
        <f>JUILLET!AH13+AG13</f>
        <v>542</v>
      </c>
    </row>
    <row r="14" ht="25.35" customHeight="1" spans="1:34">
      <c r="A14" s="5" t="s">
        <v>16</v>
      </c>
      <c r="B14" s="6">
        <v>2</v>
      </c>
      <c r="C14" s="6">
        <v>10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9</v>
      </c>
      <c r="S14" s="6">
        <v>0</v>
      </c>
      <c r="T14" s="6">
        <v>0</v>
      </c>
      <c r="U14" s="6">
        <v>13</v>
      </c>
      <c r="V14" s="6">
        <v>0</v>
      </c>
      <c r="W14" s="6">
        <v>63</v>
      </c>
      <c r="X14" s="6">
        <v>3</v>
      </c>
      <c r="Y14" s="6">
        <v>7</v>
      </c>
      <c r="Z14" s="6">
        <v>0</v>
      </c>
      <c r="AA14" s="6">
        <v>0</v>
      </c>
      <c r="AB14" s="6">
        <v>0</v>
      </c>
      <c r="AC14" s="6">
        <v>5</v>
      </c>
      <c r="AD14" s="6">
        <v>0</v>
      </c>
      <c r="AE14" s="6">
        <v>0</v>
      </c>
      <c r="AF14" s="6">
        <v>9</v>
      </c>
      <c r="AG14" s="25">
        <f t="shared" si="0"/>
        <v>121</v>
      </c>
      <c r="AH14" s="25">
        <f>JUILLET!AH14+AG14</f>
        <v>965</v>
      </c>
    </row>
    <row r="15" ht="25.35" customHeight="1" spans="1:34">
      <c r="A15" s="5" t="s">
        <v>17</v>
      </c>
      <c r="B15" s="6">
        <v>0</v>
      </c>
      <c r="C15" s="6">
        <v>6</v>
      </c>
      <c r="D15" s="6">
        <v>0</v>
      </c>
      <c r="E15" s="6">
        <v>0</v>
      </c>
      <c r="F15" s="6">
        <v>0</v>
      </c>
      <c r="G15" s="6">
        <v>45</v>
      </c>
      <c r="H15" s="6">
        <v>0</v>
      </c>
      <c r="I15" s="6">
        <v>0</v>
      </c>
      <c r="J15" s="6">
        <v>0</v>
      </c>
      <c r="K15" s="6">
        <v>2</v>
      </c>
      <c r="L15" s="6">
        <v>0</v>
      </c>
      <c r="M15" s="6">
        <v>0</v>
      </c>
      <c r="N15" s="6">
        <v>1</v>
      </c>
      <c r="O15" s="6">
        <v>4</v>
      </c>
      <c r="P15" s="6">
        <v>0</v>
      </c>
      <c r="Q15" s="6">
        <v>0</v>
      </c>
      <c r="R15" s="6">
        <v>0</v>
      </c>
      <c r="S15" s="6">
        <v>2</v>
      </c>
      <c r="T15" s="6">
        <v>18</v>
      </c>
      <c r="U15" s="6">
        <v>7</v>
      </c>
      <c r="V15" s="6">
        <v>3</v>
      </c>
      <c r="W15" s="6">
        <v>0</v>
      </c>
      <c r="X15" s="6">
        <v>27</v>
      </c>
      <c r="Y15" s="6">
        <v>1</v>
      </c>
      <c r="Z15" s="6">
        <v>0</v>
      </c>
      <c r="AA15" s="6">
        <v>0</v>
      </c>
      <c r="AB15" s="6">
        <v>41</v>
      </c>
      <c r="AC15" s="6">
        <v>40</v>
      </c>
      <c r="AD15" s="6">
        <v>0</v>
      </c>
      <c r="AE15" s="6">
        <v>0</v>
      </c>
      <c r="AF15" s="6">
        <v>1</v>
      </c>
      <c r="AG15" s="25">
        <f t="shared" si="0"/>
        <v>198</v>
      </c>
      <c r="AH15" s="25">
        <f>JUILLET!AH15+AG15</f>
        <v>714</v>
      </c>
    </row>
    <row r="16" ht="25.35" customHeight="1" spans="1:34">
      <c r="A16" s="5" t="s">
        <v>18</v>
      </c>
      <c r="B16" s="6">
        <v>36</v>
      </c>
      <c r="C16" s="6">
        <v>6</v>
      </c>
      <c r="D16" s="6">
        <v>7</v>
      </c>
      <c r="E16" s="6">
        <v>0</v>
      </c>
      <c r="F16" s="6">
        <v>0</v>
      </c>
      <c r="G16" s="6">
        <v>0</v>
      </c>
      <c r="H16" s="6">
        <v>0</v>
      </c>
      <c r="I16" s="6">
        <v>8</v>
      </c>
      <c r="J16" s="6">
        <v>9</v>
      </c>
      <c r="K16" s="6">
        <v>1</v>
      </c>
      <c r="L16" s="6">
        <v>37</v>
      </c>
      <c r="M16" s="6">
        <v>0</v>
      </c>
      <c r="N16" s="6">
        <v>22</v>
      </c>
      <c r="O16" s="6">
        <v>0</v>
      </c>
      <c r="P16" s="6">
        <v>0</v>
      </c>
      <c r="Q16" s="6">
        <v>0</v>
      </c>
      <c r="R16" s="6">
        <v>2</v>
      </c>
      <c r="S16" s="6">
        <v>10</v>
      </c>
      <c r="T16" s="6">
        <v>10</v>
      </c>
      <c r="U16" s="6">
        <v>10</v>
      </c>
      <c r="V16" s="6">
        <v>0</v>
      </c>
      <c r="W16" s="6">
        <v>39</v>
      </c>
      <c r="X16" s="6">
        <v>9</v>
      </c>
      <c r="Y16" s="6">
        <v>0</v>
      </c>
      <c r="Z16" s="6">
        <v>0</v>
      </c>
      <c r="AA16" s="6">
        <v>0</v>
      </c>
      <c r="AB16" s="6">
        <v>24</v>
      </c>
      <c r="AC16" s="6">
        <v>8</v>
      </c>
      <c r="AD16" s="6">
        <v>6</v>
      </c>
      <c r="AE16" s="6">
        <v>0</v>
      </c>
      <c r="AF16" s="6">
        <v>0</v>
      </c>
      <c r="AG16" s="25">
        <f t="shared" si="0"/>
        <v>244</v>
      </c>
      <c r="AH16" s="25">
        <f>JUILLET!AH16+AG16</f>
        <v>991</v>
      </c>
    </row>
    <row r="17" ht="25.35" customHeight="1" spans="1:34">
      <c r="A17" s="5" t="s">
        <v>13</v>
      </c>
      <c r="B17" s="6">
        <v>0</v>
      </c>
      <c r="C17" s="6">
        <v>7</v>
      </c>
      <c r="D17" s="6">
        <v>12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26</v>
      </c>
      <c r="M17" s="6">
        <v>0</v>
      </c>
      <c r="N17" s="6">
        <v>1</v>
      </c>
      <c r="O17" s="6">
        <v>1</v>
      </c>
      <c r="P17" s="6">
        <v>0</v>
      </c>
      <c r="Q17" s="6">
        <v>2</v>
      </c>
      <c r="R17" s="6">
        <v>0</v>
      </c>
      <c r="S17" s="6">
        <v>0</v>
      </c>
      <c r="T17" s="6">
        <v>7</v>
      </c>
      <c r="U17" s="6">
        <v>0</v>
      </c>
      <c r="V17" s="6">
        <v>2</v>
      </c>
      <c r="W17" s="6">
        <v>13</v>
      </c>
      <c r="X17" s="6">
        <v>7</v>
      </c>
      <c r="Y17" s="6">
        <v>5</v>
      </c>
      <c r="Z17" s="6">
        <v>15</v>
      </c>
      <c r="AA17" s="6">
        <v>0</v>
      </c>
      <c r="AB17" s="6">
        <v>30</v>
      </c>
      <c r="AC17" s="6">
        <v>2</v>
      </c>
      <c r="AD17" s="6">
        <v>6</v>
      </c>
      <c r="AE17" s="6">
        <v>0</v>
      </c>
      <c r="AF17" s="6">
        <v>2</v>
      </c>
      <c r="AG17" s="25">
        <f t="shared" si="0"/>
        <v>138</v>
      </c>
      <c r="AH17" s="25">
        <f>JUILLET!AH17+AG17</f>
        <v>668</v>
      </c>
    </row>
  </sheetData>
  <mergeCells count="2">
    <mergeCell ref="A3:AH3"/>
    <mergeCell ref="A5:AH5"/>
  </mergeCells>
  <pageMargins left="0.31496062992126" right="0.31496062992126" top="0.748031496062992" bottom="0.748031496062992" header="0.31496062992126" footer="0.31496062992126"/>
  <pageSetup paperSize="9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A1:AK17"/>
  <sheetViews>
    <sheetView topLeftCell="A4" workbookViewId="0">
      <selection activeCell="AK11" sqref="AK11"/>
    </sheetView>
  </sheetViews>
  <sheetFormatPr defaultColWidth="11" defaultRowHeight="15"/>
  <cols>
    <col min="1" max="1" width="12" customWidth="1"/>
    <col min="2" max="32" width="3.71428571428571" customWidth="1"/>
    <col min="33" max="33" width="5.42857142857143" customWidth="1"/>
    <col min="34" max="34" width="6.28571428571429" customWidth="1"/>
  </cols>
  <sheetData>
    <row r="1" ht="17.25" spans="1:1">
      <c r="A1" s="18" t="s">
        <v>0</v>
      </c>
    </row>
    <row r="3" ht="15.75" spans="1:34">
      <c r="A3" s="19" t="s">
        <v>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</row>
    <row r="5" ht="15.75" spans="1:34">
      <c r="A5" s="20" t="s">
        <v>27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7" spans="1:34">
      <c r="A7" s="22" t="s">
        <v>3</v>
      </c>
      <c r="B7" s="23">
        <v>1</v>
      </c>
      <c r="C7" s="23">
        <v>2</v>
      </c>
      <c r="D7" s="23">
        <v>3</v>
      </c>
      <c r="E7" s="23">
        <v>4</v>
      </c>
      <c r="F7" s="23">
        <v>5</v>
      </c>
      <c r="G7" s="23">
        <v>6</v>
      </c>
      <c r="H7" s="23">
        <v>7</v>
      </c>
      <c r="I7" s="23">
        <v>8</v>
      </c>
      <c r="J7" s="23">
        <v>9</v>
      </c>
      <c r="K7" s="23">
        <v>10</v>
      </c>
      <c r="L7" s="23">
        <v>11</v>
      </c>
      <c r="M7" s="23">
        <v>12</v>
      </c>
      <c r="N7" s="23">
        <v>13</v>
      </c>
      <c r="O7" s="23">
        <v>14</v>
      </c>
      <c r="P7" s="23">
        <v>15</v>
      </c>
      <c r="Q7" s="23">
        <v>16</v>
      </c>
      <c r="R7" s="23">
        <v>17</v>
      </c>
      <c r="S7" s="23">
        <v>18</v>
      </c>
      <c r="T7" s="23">
        <v>19</v>
      </c>
      <c r="U7" s="23">
        <v>20</v>
      </c>
      <c r="V7" s="23">
        <v>21</v>
      </c>
      <c r="W7" s="23">
        <v>22</v>
      </c>
      <c r="X7" s="23">
        <v>23</v>
      </c>
      <c r="Y7" s="23">
        <v>24</v>
      </c>
      <c r="Z7" s="23">
        <v>25</v>
      </c>
      <c r="AA7" s="23">
        <v>26</v>
      </c>
      <c r="AB7" s="23">
        <v>27</v>
      </c>
      <c r="AC7" s="23">
        <v>28</v>
      </c>
      <c r="AD7" s="23">
        <v>29</v>
      </c>
      <c r="AE7" s="23">
        <v>30</v>
      </c>
      <c r="AF7" s="23">
        <v>31</v>
      </c>
      <c r="AG7" s="24" t="s">
        <v>4</v>
      </c>
      <c r="AH7" s="24" t="s">
        <v>15</v>
      </c>
    </row>
    <row r="8" ht="25.35" customHeight="1" spans="1:34">
      <c r="A8" s="5" t="s">
        <v>5</v>
      </c>
      <c r="B8" s="6">
        <v>15</v>
      </c>
      <c r="C8" s="6">
        <v>83</v>
      </c>
      <c r="D8" s="6">
        <v>9</v>
      </c>
      <c r="E8" s="6">
        <v>0</v>
      </c>
      <c r="F8" s="6">
        <v>0</v>
      </c>
      <c r="G8" s="6">
        <v>10</v>
      </c>
      <c r="H8" s="6">
        <v>0</v>
      </c>
      <c r="I8" s="6">
        <v>0</v>
      </c>
      <c r="J8" s="6">
        <v>35</v>
      </c>
      <c r="K8" s="6">
        <v>20</v>
      </c>
      <c r="L8" s="6">
        <v>0</v>
      </c>
      <c r="M8" s="6">
        <v>9</v>
      </c>
      <c r="N8" s="6">
        <v>9</v>
      </c>
      <c r="O8" s="6">
        <v>24</v>
      </c>
      <c r="P8" s="6">
        <v>18</v>
      </c>
      <c r="Q8" s="6">
        <v>10</v>
      </c>
      <c r="R8" s="6">
        <v>0</v>
      </c>
      <c r="S8" s="6">
        <v>0</v>
      </c>
      <c r="T8" s="6">
        <v>9</v>
      </c>
      <c r="U8" s="6">
        <v>1</v>
      </c>
      <c r="V8" s="6">
        <v>0</v>
      </c>
      <c r="W8" s="6">
        <v>0</v>
      </c>
      <c r="X8" s="6">
        <v>0</v>
      </c>
      <c r="Y8" s="6">
        <v>0</v>
      </c>
      <c r="Z8" s="6">
        <v>25</v>
      </c>
      <c r="AA8" s="6">
        <v>0</v>
      </c>
      <c r="AB8" s="6">
        <v>0</v>
      </c>
      <c r="AC8" s="6">
        <v>20</v>
      </c>
      <c r="AD8" s="6">
        <v>0</v>
      </c>
      <c r="AE8" s="6">
        <v>0</v>
      </c>
      <c r="AF8" s="6">
        <v>0</v>
      </c>
      <c r="AG8" s="25">
        <f t="shared" ref="AG8:AG17" si="0">SUM(B8:AF8)</f>
        <v>297</v>
      </c>
      <c r="AH8" s="25">
        <f>SEPTEMBRE!AK14</f>
        <v>0</v>
      </c>
    </row>
    <row r="9" ht="25.35" customHeight="1" spans="1:34">
      <c r="A9" s="5" t="s">
        <v>6</v>
      </c>
      <c r="B9" s="6">
        <v>0</v>
      </c>
      <c r="C9" s="6">
        <v>2</v>
      </c>
      <c r="D9" s="6">
        <v>1</v>
      </c>
      <c r="E9" s="6">
        <v>0</v>
      </c>
      <c r="F9" s="6">
        <v>35</v>
      </c>
      <c r="G9" s="6">
        <v>9</v>
      </c>
      <c r="H9" s="6">
        <v>0</v>
      </c>
      <c r="I9" s="6">
        <v>2</v>
      </c>
      <c r="J9" s="6">
        <v>6</v>
      </c>
      <c r="K9" s="6">
        <v>10</v>
      </c>
      <c r="L9" s="6">
        <v>0</v>
      </c>
      <c r="M9" s="6">
        <v>0</v>
      </c>
      <c r="N9" s="6">
        <v>3</v>
      </c>
      <c r="O9" s="6">
        <v>16</v>
      </c>
      <c r="P9" s="6">
        <v>18</v>
      </c>
      <c r="Q9" s="6">
        <v>24</v>
      </c>
      <c r="R9" s="6">
        <v>1</v>
      </c>
      <c r="S9" s="6">
        <v>0</v>
      </c>
      <c r="T9" s="6">
        <v>11</v>
      </c>
      <c r="U9" s="6">
        <v>23</v>
      </c>
      <c r="V9" s="6">
        <v>0</v>
      </c>
      <c r="W9" s="6">
        <v>0</v>
      </c>
      <c r="X9" s="6">
        <v>0</v>
      </c>
      <c r="Y9" s="6">
        <v>0</v>
      </c>
      <c r="Z9" s="6">
        <v>10</v>
      </c>
      <c r="AA9" s="6">
        <v>1</v>
      </c>
      <c r="AB9" s="6">
        <v>0</v>
      </c>
      <c r="AC9" s="6">
        <v>25</v>
      </c>
      <c r="AD9" s="6">
        <v>0</v>
      </c>
      <c r="AE9" s="6">
        <v>0</v>
      </c>
      <c r="AF9" s="6">
        <v>0</v>
      </c>
      <c r="AG9" s="25">
        <f t="shared" si="0"/>
        <v>197</v>
      </c>
      <c r="AH9" s="25">
        <f>AOÛT!AH9+AG9</f>
        <v>876</v>
      </c>
    </row>
    <row r="10" ht="25.35" customHeight="1" spans="1:34">
      <c r="A10" s="5" t="s">
        <v>7</v>
      </c>
      <c r="B10" s="6">
        <v>0</v>
      </c>
      <c r="C10" s="6">
        <v>8</v>
      </c>
      <c r="D10" s="6">
        <v>0</v>
      </c>
      <c r="E10" s="6">
        <v>0</v>
      </c>
      <c r="F10" s="6">
        <v>0</v>
      </c>
      <c r="G10" s="6">
        <v>35</v>
      </c>
      <c r="H10" s="6">
        <v>0</v>
      </c>
      <c r="I10" s="6">
        <v>0</v>
      </c>
      <c r="J10" s="6">
        <v>0</v>
      </c>
      <c r="K10" s="6">
        <v>4</v>
      </c>
      <c r="L10" s="6">
        <v>0</v>
      </c>
      <c r="M10" s="6">
        <v>0</v>
      </c>
      <c r="N10" s="6">
        <v>23</v>
      </c>
      <c r="O10" s="6">
        <v>25</v>
      </c>
      <c r="P10" s="6">
        <v>0</v>
      </c>
      <c r="Q10" s="6">
        <v>11</v>
      </c>
      <c r="R10" s="6">
        <v>1</v>
      </c>
      <c r="S10" s="6">
        <v>0</v>
      </c>
      <c r="T10" s="6">
        <v>0</v>
      </c>
      <c r="U10" s="6">
        <v>4</v>
      </c>
      <c r="V10" s="6">
        <v>0</v>
      </c>
      <c r="W10" s="6">
        <v>0</v>
      </c>
      <c r="X10" s="6">
        <v>0</v>
      </c>
      <c r="Y10" s="6">
        <v>0</v>
      </c>
      <c r="Z10" s="6">
        <v>31</v>
      </c>
      <c r="AA10" s="6">
        <v>0</v>
      </c>
      <c r="AB10" s="6">
        <v>0</v>
      </c>
      <c r="AC10" s="6">
        <v>16</v>
      </c>
      <c r="AD10" s="6">
        <v>0</v>
      </c>
      <c r="AE10" s="6">
        <v>0</v>
      </c>
      <c r="AF10" s="6">
        <v>0</v>
      </c>
      <c r="AG10" s="25">
        <f t="shared" si="0"/>
        <v>158</v>
      </c>
      <c r="AH10" s="25">
        <f>AOÛT!AH10+AG10</f>
        <v>782</v>
      </c>
    </row>
    <row r="11" ht="25.35" customHeight="1" spans="1:34">
      <c r="A11" s="5" t="s">
        <v>8</v>
      </c>
      <c r="B11" s="6">
        <v>0</v>
      </c>
      <c r="C11" s="6">
        <v>4</v>
      </c>
      <c r="D11" s="6">
        <v>0</v>
      </c>
      <c r="E11" s="6">
        <v>0</v>
      </c>
      <c r="F11" s="6">
        <v>25</v>
      </c>
      <c r="G11" s="6">
        <v>0</v>
      </c>
      <c r="H11" s="6">
        <v>0</v>
      </c>
      <c r="I11" s="6">
        <v>0</v>
      </c>
      <c r="J11" s="6">
        <v>0</v>
      </c>
      <c r="K11" s="6">
        <v>17</v>
      </c>
      <c r="L11" s="6">
        <v>0</v>
      </c>
      <c r="M11" s="6">
        <v>0</v>
      </c>
      <c r="N11" s="6">
        <v>5</v>
      </c>
      <c r="O11" s="6">
        <v>9</v>
      </c>
      <c r="P11" s="6">
        <v>0</v>
      </c>
      <c r="Q11" s="6">
        <v>44</v>
      </c>
      <c r="R11" s="6">
        <v>0</v>
      </c>
      <c r="S11" s="6">
        <v>0</v>
      </c>
      <c r="T11" s="6">
        <v>5</v>
      </c>
      <c r="U11" s="6">
        <v>46</v>
      </c>
      <c r="V11" s="6">
        <v>0</v>
      </c>
      <c r="W11" s="6">
        <v>0</v>
      </c>
      <c r="X11" s="6">
        <v>0</v>
      </c>
      <c r="Y11" s="6">
        <v>0</v>
      </c>
      <c r="Z11" s="6">
        <v>26</v>
      </c>
      <c r="AA11" s="6">
        <v>0</v>
      </c>
      <c r="AB11" s="6">
        <v>0</v>
      </c>
      <c r="AC11" s="6">
        <v>33</v>
      </c>
      <c r="AD11" s="6">
        <v>0</v>
      </c>
      <c r="AE11" s="6">
        <v>0</v>
      </c>
      <c r="AF11" s="6">
        <v>0</v>
      </c>
      <c r="AG11" s="25">
        <f t="shared" si="0"/>
        <v>214</v>
      </c>
      <c r="AH11" s="25">
        <f>AOÛT!AH11+AG11</f>
        <v>730</v>
      </c>
    </row>
    <row r="12" ht="25.35" customHeight="1" spans="1:34">
      <c r="A12" s="5" t="s">
        <v>9</v>
      </c>
      <c r="B12" s="6">
        <v>0</v>
      </c>
      <c r="C12" s="6">
        <v>0</v>
      </c>
      <c r="D12" s="6">
        <v>0</v>
      </c>
      <c r="E12" s="6">
        <v>55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13</v>
      </c>
      <c r="L12" s="6">
        <v>0</v>
      </c>
      <c r="M12" s="6">
        <v>3</v>
      </c>
      <c r="N12" s="6">
        <v>3</v>
      </c>
      <c r="O12" s="6">
        <v>22</v>
      </c>
      <c r="P12" s="6">
        <v>44</v>
      </c>
      <c r="Q12" s="6">
        <v>1</v>
      </c>
      <c r="R12" s="6">
        <v>1</v>
      </c>
      <c r="S12" s="6">
        <v>0</v>
      </c>
      <c r="T12" s="6">
        <v>18</v>
      </c>
      <c r="U12" s="6">
        <v>0</v>
      </c>
      <c r="V12" s="6">
        <v>0</v>
      </c>
      <c r="W12" s="6">
        <v>0</v>
      </c>
      <c r="X12" s="6">
        <v>10</v>
      </c>
      <c r="Y12" s="6">
        <v>0</v>
      </c>
      <c r="Z12" s="6">
        <v>14</v>
      </c>
      <c r="AA12" s="6">
        <v>52</v>
      </c>
      <c r="AB12" s="6">
        <v>0</v>
      </c>
      <c r="AC12" s="6">
        <v>21</v>
      </c>
      <c r="AD12" s="6">
        <v>0</v>
      </c>
      <c r="AE12" s="6">
        <v>0</v>
      </c>
      <c r="AF12" s="6">
        <v>0</v>
      </c>
      <c r="AG12" s="25">
        <f t="shared" si="0"/>
        <v>257</v>
      </c>
      <c r="AH12" s="25">
        <f>AOÛT!AH12+AG12</f>
        <v>683</v>
      </c>
    </row>
    <row r="13" ht="25.35" customHeight="1" spans="1:34">
      <c r="A13" s="5" t="s">
        <v>10</v>
      </c>
      <c r="B13" s="6">
        <v>10</v>
      </c>
      <c r="C13" s="6">
        <v>0</v>
      </c>
      <c r="D13" s="6">
        <v>34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7</v>
      </c>
      <c r="L13" s="6">
        <v>0</v>
      </c>
      <c r="M13" s="6">
        <v>0</v>
      </c>
      <c r="N13" s="6">
        <v>11</v>
      </c>
      <c r="O13" s="6">
        <v>0</v>
      </c>
      <c r="P13" s="6">
        <v>52</v>
      </c>
      <c r="Q13" s="6">
        <v>0</v>
      </c>
      <c r="R13" s="6">
        <v>0</v>
      </c>
      <c r="S13" s="6">
        <v>0</v>
      </c>
      <c r="T13" s="6">
        <v>0</v>
      </c>
      <c r="U13" s="6">
        <v>5</v>
      </c>
      <c r="V13" s="6">
        <v>0</v>
      </c>
      <c r="W13" s="6">
        <v>0</v>
      </c>
      <c r="X13" s="6">
        <v>0</v>
      </c>
      <c r="Y13" s="6">
        <v>0</v>
      </c>
      <c r="Z13" s="6">
        <v>8</v>
      </c>
      <c r="AA13" s="6">
        <v>21</v>
      </c>
      <c r="AB13" s="6">
        <v>0</v>
      </c>
      <c r="AC13" s="6">
        <v>7</v>
      </c>
      <c r="AD13" s="6">
        <v>0</v>
      </c>
      <c r="AE13" s="6">
        <v>0</v>
      </c>
      <c r="AF13" s="6">
        <v>0</v>
      </c>
      <c r="AG13" s="25">
        <f t="shared" si="0"/>
        <v>155</v>
      </c>
      <c r="AH13" s="25">
        <f>AOÛT!AH13+AG13</f>
        <v>697</v>
      </c>
    </row>
    <row r="14" ht="25.35" customHeight="1" spans="1:34">
      <c r="A14" s="5" t="s">
        <v>16</v>
      </c>
      <c r="B14" s="6">
        <v>5</v>
      </c>
      <c r="C14" s="6">
        <v>0</v>
      </c>
      <c r="D14" s="6">
        <v>8</v>
      </c>
      <c r="E14" s="6">
        <v>10</v>
      </c>
      <c r="F14" s="6">
        <v>0</v>
      </c>
      <c r="G14" s="6">
        <v>4</v>
      </c>
      <c r="H14" s="6">
        <v>8</v>
      </c>
      <c r="I14" s="6">
        <v>5</v>
      </c>
      <c r="J14" s="6">
        <v>25</v>
      </c>
      <c r="K14" s="6">
        <v>0</v>
      </c>
      <c r="L14" s="6">
        <v>0</v>
      </c>
      <c r="M14" s="6">
        <v>30</v>
      </c>
      <c r="N14" s="6">
        <v>26</v>
      </c>
      <c r="O14" s="6">
        <v>7</v>
      </c>
      <c r="P14" s="6">
        <v>25</v>
      </c>
      <c r="Q14" s="6">
        <v>5</v>
      </c>
      <c r="R14" s="6">
        <v>3</v>
      </c>
      <c r="S14" s="6">
        <v>0</v>
      </c>
      <c r="T14" s="6">
        <v>31</v>
      </c>
      <c r="U14" s="6">
        <v>0</v>
      </c>
      <c r="V14" s="6">
        <v>0</v>
      </c>
      <c r="W14" s="6">
        <v>0</v>
      </c>
      <c r="X14" s="6">
        <v>5</v>
      </c>
      <c r="Y14" s="6">
        <v>0</v>
      </c>
      <c r="Z14" s="6">
        <v>14</v>
      </c>
      <c r="AA14" s="6">
        <v>9</v>
      </c>
      <c r="AB14" s="6">
        <v>0</v>
      </c>
      <c r="AC14" s="6">
        <v>24</v>
      </c>
      <c r="AD14" s="6">
        <v>4</v>
      </c>
      <c r="AE14" s="6">
        <v>0</v>
      </c>
      <c r="AF14" s="6">
        <v>0</v>
      </c>
      <c r="AG14" s="25">
        <f t="shared" ref="AG14" si="1">SUM(B14:AF14)</f>
        <v>248</v>
      </c>
      <c r="AH14" s="25">
        <f>AOÛT!AH14+AG14</f>
        <v>1213</v>
      </c>
    </row>
    <row r="15" ht="25.35" customHeight="1" spans="1:34">
      <c r="A15" s="5" t="s">
        <v>17</v>
      </c>
      <c r="B15" s="6">
        <v>34</v>
      </c>
      <c r="C15" s="6">
        <v>16</v>
      </c>
      <c r="D15" s="6">
        <v>0</v>
      </c>
      <c r="E15" s="6">
        <v>0</v>
      </c>
      <c r="F15" s="6">
        <v>0</v>
      </c>
      <c r="G15" s="6">
        <v>2</v>
      </c>
      <c r="H15" s="6">
        <v>0</v>
      </c>
      <c r="I15" s="6">
        <v>0</v>
      </c>
      <c r="J15" s="6">
        <v>9</v>
      </c>
      <c r="K15" s="6">
        <v>0</v>
      </c>
      <c r="L15" s="6">
        <v>0</v>
      </c>
      <c r="M15" s="6">
        <v>0</v>
      </c>
      <c r="N15" s="6">
        <v>47</v>
      </c>
      <c r="O15" s="6">
        <v>0</v>
      </c>
      <c r="P15" s="6">
        <v>19</v>
      </c>
      <c r="Q15" s="6">
        <v>2</v>
      </c>
      <c r="R15" s="6">
        <v>0</v>
      </c>
      <c r="S15" s="6">
        <v>0</v>
      </c>
      <c r="T15" s="6">
        <v>16</v>
      </c>
      <c r="U15" s="6">
        <v>0</v>
      </c>
      <c r="V15" s="6">
        <v>0</v>
      </c>
      <c r="W15" s="6">
        <v>0</v>
      </c>
      <c r="X15" s="6">
        <v>10</v>
      </c>
      <c r="Y15" s="6">
        <v>0</v>
      </c>
      <c r="Z15" s="6">
        <v>7</v>
      </c>
      <c r="AA15" s="6">
        <v>25</v>
      </c>
      <c r="AB15" s="6">
        <v>0</v>
      </c>
      <c r="AC15" s="6">
        <v>8</v>
      </c>
      <c r="AD15" s="6">
        <v>0</v>
      </c>
      <c r="AE15" s="6">
        <v>0</v>
      </c>
      <c r="AF15" s="6">
        <v>0</v>
      </c>
      <c r="AG15" s="25">
        <f t="shared" si="0"/>
        <v>195</v>
      </c>
      <c r="AH15" s="25">
        <f>AOÛT!AH15+AG15</f>
        <v>909</v>
      </c>
    </row>
    <row r="16" ht="25.35" customHeight="1" spans="1:34">
      <c r="A16" s="5" t="s">
        <v>18</v>
      </c>
      <c r="B16" s="6">
        <v>0</v>
      </c>
      <c r="C16" s="6">
        <v>8</v>
      </c>
      <c r="D16" s="6">
        <v>0</v>
      </c>
      <c r="E16" s="6">
        <v>0</v>
      </c>
      <c r="F16" s="6">
        <v>21</v>
      </c>
      <c r="G16" s="6">
        <v>0</v>
      </c>
      <c r="H16" s="6">
        <v>17</v>
      </c>
      <c r="I16" s="6">
        <v>2</v>
      </c>
      <c r="J16" s="6">
        <v>0</v>
      </c>
      <c r="K16" s="6">
        <v>76</v>
      </c>
      <c r="L16" s="6">
        <v>25</v>
      </c>
      <c r="M16" s="6">
        <v>0</v>
      </c>
      <c r="N16" s="6">
        <v>4</v>
      </c>
      <c r="O16" s="6">
        <v>0</v>
      </c>
      <c r="P16" s="6">
        <v>20</v>
      </c>
      <c r="Q16" s="6">
        <v>10</v>
      </c>
      <c r="R16" s="6">
        <v>8</v>
      </c>
      <c r="S16" s="6">
        <v>0</v>
      </c>
      <c r="T16" s="6">
        <v>0</v>
      </c>
      <c r="U16" s="6">
        <v>0</v>
      </c>
      <c r="V16" s="6">
        <v>2</v>
      </c>
      <c r="W16" s="6">
        <v>35</v>
      </c>
      <c r="X16" s="6">
        <v>5</v>
      </c>
      <c r="Y16" s="6">
        <v>0</v>
      </c>
      <c r="Z16" s="6">
        <v>0</v>
      </c>
      <c r="AA16" s="6">
        <v>18</v>
      </c>
      <c r="AB16" s="6">
        <v>6</v>
      </c>
      <c r="AC16" s="6">
        <v>20</v>
      </c>
      <c r="AD16" s="6">
        <v>0</v>
      </c>
      <c r="AE16" s="6">
        <v>8</v>
      </c>
      <c r="AF16" s="6">
        <v>0</v>
      </c>
      <c r="AG16" s="25">
        <f t="shared" si="0"/>
        <v>285</v>
      </c>
      <c r="AH16" s="25">
        <f>AOÛT!AH16+AG16</f>
        <v>1276</v>
      </c>
    </row>
    <row r="17" ht="25.35" customHeight="1" spans="1:37">
      <c r="A17" s="5" t="s">
        <v>13</v>
      </c>
      <c r="B17" s="6">
        <v>17</v>
      </c>
      <c r="C17" s="6">
        <v>10</v>
      </c>
      <c r="D17" s="6">
        <v>0</v>
      </c>
      <c r="E17" s="6">
        <v>0</v>
      </c>
      <c r="F17" s="6">
        <v>1</v>
      </c>
      <c r="G17" s="6">
        <v>8</v>
      </c>
      <c r="H17" s="6">
        <v>0</v>
      </c>
      <c r="I17" s="6">
        <v>0</v>
      </c>
      <c r="J17" s="6">
        <v>31</v>
      </c>
      <c r="K17" s="6">
        <v>4</v>
      </c>
      <c r="L17" s="6">
        <v>0</v>
      </c>
      <c r="M17" s="6">
        <v>18</v>
      </c>
      <c r="N17" s="6">
        <v>8</v>
      </c>
      <c r="O17" s="6">
        <v>0</v>
      </c>
      <c r="P17" s="6">
        <v>0</v>
      </c>
      <c r="Q17" s="6">
        <v>4</v>
      </c>
      <c r="R17" s="6">
        <v>2</v>
      </c>
      <c r="S17" s="6">
        <v>0</v>
      </c>
      <c r="T17" s="6">
        <v>0</v>
      </c>
      <c r="U17" s="6">
        <v>2</v>
      </c>
      <c r="V17" s="6">
        <v>0</v>
      </c>
      <c r="W17" s="6">
        <v>3</v>
      </c>
      <c r="X17" s="6">
        <v>0</v>
      </c>
      <c r="Y17" s="6">
        <v>44</v>
      </c>
      <c r="Z17" s="6">
        <v>0</v>
      </c>
      <c r="AA17" s="6">
        <v>8</v>
      </c>
      <c r="AB17" s="6">
        <v>6</v>
      </c>
      <c r="AC17" s="6">
        <v>82</v>
      </c>
      <c r="AD17" s="6">
        <v>1</v>
      </c>
      <c r="AE17" s="6">
        <v>0</v>
      </c>
      <c r="AF17" s="6">
        <v>0</v>
      </c>
      <c r="AG17" s="25">
        <f t="shared" si="0"/>
        <v>249</v>
      </c>
      <c r="AH17" s="25">
        <f>AOÛT!AH17+AG17</f>
        <v>917</v>
      </c>
      <c r="AK17" t="s">
        <v>24</v>
      </c>
    </row>
  </sheetData>
  <mergeCells count="2">
    <mergeCell ref="A3:AH3"/>
    <mergeCell ref="A5:AH5"/>
  </mergeCells>
  <pageMargins left="0.31496062992126" right="0.31496062992126" top="0.748031496062992" bottom="0.748031496062992" header="0.31496062992126" footer="0.31496062992126"/>
  <pageSetup paperSize="9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2" tint="-0.749992370372631"/>
  </sheetPr>
  <dimension ref="A1:AH17"/>
  <sheetViews>
    <sheetView workbookViewId="0">
      <selection activeCell="AK11" sqref="AK11"/>
    </sheetView>
  </sheetViews>
  <sheetFormatPr defaultColWidth="11" defaultRowHeight="15"/>
  <cols>
    <col min="1" max="1" width="12" customWidth="1"/>
    <col min="2" max="32" width="3.71428571428571" customWidth="1"/>
    <col min="33" max="33" width="6.42857142857143" customWidth="1"/>
    <col min="34" max="34" width="6.28571428571429" customWidth="1"/>
  </cols>
  <sheetData>
    <row r="1" ht="17.25" spans="1:1">
      <c r="A1" s="18" t="s">
        <v>0</v>
      </c>
    </row>
    <row r="3" ht="15.75" spans="1:34">
      <c r="A3" s="19" t="s">
        <v>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</row>
    <row r="5" ht="15.75" spans="1:34">
      <c r="A5" s="20" t="s">
        <v>28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7" spans="1:34">
      <c r="A7" s="22" t="s">
        <v>3</v>
      </c>
      <c r="B7" s="23">
        <v>1</v>
      </c>
      <c r="C7" s="23">
        <v>2</v>
      </c>
      <c r="D7" s="23">
        <v>3</v>
      </c>
      <c r="E7" s="23">
        <v>4</v>
      </c>
      <c r="F7" s="23">
        <v>5</v>
      </c>
      <c r="G7" s="23">
        <v>6</v>
      </c>
      <c r="H7" s="23">
        <v>7</v>
      </c>
      <c r="I7" s="23">
        <v>8</v>
      </c>
      <c r="J7" s="23">
        <v>9</v>
      </c>
      <c r="K7" s="23">
        <v>10</v>
      </c>
      <c r="L7" s="23">
        <v>11</v>
      </c>
      <c r="M7" s="23">
        <v>12</v>
      </c>
      <c r="N7" s="23">
        <v>13</v>
      </c>
      <c r="O7" s="23">
        <v>14</v>
      </c>
      <c r="P7" s="23">
        <v>15</v>
      </c>
      <c r="Q7" s="23">
        <v>16</v>
      </c>
      <c r="R7" s="23">
        <v>17</v>
      </c>
      <c r="S7" s="23">
        <v>18</v>
      </c>
      <c r="T7" s="23">
        <v>19</v>
      </c>
      <c r="U7" s="23">
        <v>20</v>
      </c>
      <c r="V7" s="23">
        <v>21</v>
      </c>
      <c r="W7" s="23">
        <v>22</v>
      </c>
      <c r="X7" s="23">
        <v>23</v>
      </c>
      <c r="Y7" s="23">
        <v>24</v>
      </c>
      <c r="Z7" s="23">
        <v>25</v>
      </c>
      <c r="AA7" s="23">
        <v>26</v>
      </c>
      <c r="AB7" s="23">
        <v>27</v>
      </c>
      <c r="AC7" s="23">
        <v>28</v>
      </c>
      <c r="AD7" s="23">
        <v>29</v>
      </c>
      <c r="AE7" s="23">
        <v>30</v>
      </c>
      <c r="AF7" s="23">
        <v>31</v>
      </c>
      <c r="AG7" s="24" t="s">
        <v>4</v>
      </c>
      <c r="AH7" s="24" t="s">
        <v>15</v>
      </c>
    </row>
    <row r="8" ht="25.35" customHeight="1" spans="1:34">
      <c r="A8" s="5" t="s">
        <v>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25">
        <f>SUM(B8:AF8)</f>
        <v>0</v>
      </c>
      <c r="AH8" s="25">
        <f>SEPTEMBRE!AH8+AG8</f>
        <v>0</v>
      </c>
    </row>
    <row r="9" ht="25.35" customHeight="1" spans="1:34">
      <c r="A9" s="5" t="s">
        <v>6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25">
        <f t="shared" ref="AG9:AG17" si="0">SUM(B9:AF9)</f>
        <v>0</v>
      </c>
      <c r="AH9" s="25">
        <f>SEPTEMBRE!AH9+AG9</f>
        <v>876</v>
      </c>
    </row>
    <row r="10" ht="25.35" customHeight="1" spans="1:34">
      <c r="A10" s="5" t="s">
        <v>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25">
        <f t="shared" si="0"/>
        <v>0</v>
      </c>
      <c r="AH10" s="25">
        <f>SEPTEMBRE!AH10+AG10</f>
        <v>782</v>
      </c>
    </row>
    <row r="11" ht="25.35" customHeight="1" spans="1:34">
      <c r="A11" s="5" t="s">
        <v>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25">
        <f t="shared" si="0"/>
        <v>0</v>
      </c>
      <c r="AH11" s="25">
        <f>SEPTEMBRE!AH11+AG11</f>
        <v>730</v>
      </c>
    </row>
    <row r="12" ht="25.35" customHeight="1" spans="1:34">
      <c r="A12" s="5" t="s">
        <v>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25">
        <f t="shared" si="0"/>
        <v>0</v>
      </c>
      <c r="AH12" s="25">
        <f>SEPTEMBRE!AH12+AG12</f>
        <v>683</v>
      </c>
    </row>
    <row r="13" ht="25.35" customHeight="1" spans="1:34">
      <c r="A13" s="5" t="s">
        <v>10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25">
        <f t="shared" si="0"/>
        <v>0</v>
      </c>
      <c r="AH13" s="25">
        <f>SEPTEMBRE!AH13+AG13</f>
        <v>697</v>
      </c>
    </row>
    <row r="14" ht="25.35" customHeight="1" spans="1:34">
      <c r="A14" s="5" t="s">
        <v>16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25">
        <f t="shared" ref="AG14" si="1">SUM(B14:AF14)</f>
        <v>0</v>
      </c>
      <c r="AH14" s="25">
        <f>SEPTEMBRE!AH14+AG14</f>
        <v>1213</v>
      </c>
    </row>
    <row r="15" ht="25.35" customHeight="1" spans="1:34">
      <c r="A15" s="5" t="s">
        <v>17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25">
        <f t="shared" si="0"/>
        <v>0</v>
      </c>
      <c r="AH15" s="25">
        <f>SEPTEMBRE!AH15+AG15</f>
        <v>909</v>
      </c>
    </row>
    <row r="16" ht="25.35" customHeight="1" spans="1:34">
      <c r="A16" s="5" t="s">
        <v>18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25">
        <f t="shared" si="0"/>
        <v>0</v>
      </c>
      <c r="AH16" s="25">
        <f>SEPTEMBRE!AH16+AG16</f>
        <v>1276</v>
      </c>
    </row>
    <row r="17" ht="25.35" customHeight="1" spans="1:34">
      <c r="A17" s="5" t="s">
        <v>13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25">
        <f t="shared" si="0"/>
        <v>0</v>
      </c>
      <c r="AH17" s="25">
        <f>SEPTEMBRE!AH17+AG17</f>
        <v>917</v>
      </c>
    </row>
  </sheetData>
  <mergeCells count="2">
    <mergeCell ref="A3:AH3"/>
    <mergeCell ref="A5:AH5"/>
  </mergeCells>
  <pageMargins left="0.31496062992126" right="0.31496062992126" top="0.748031496062992" bottom="0.748031496062992" header="0.31496062992126" footer="0.31496062992126"/>
  <pageSetup paperSize="9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H17"/>
  <sheetViews>
    <sheetView topLeftCell="A2" workbookViewId="0">
      <selection activeCell="AK11" sqref="AK11"/>
    </sheetView>
  </sheetViews>
  <sheetFormatPr defaultColWidth="11" defaultRowHeight="15"/>
  <cols>
    <col min="1" max="1" width="12" customWidth="1"/>
    <col min="2" max="32" width="3.71428571428571" customWidth="1"/>
    <col min="33" max="33" width="5.71428571428571" customWidth="1"/>
    <col min="34" max="34" width="6.71428571428571" customWidth="1"/>
  </cols>
  <sheetData>
    <row r="1" ht="17.25" spans="1:1">
      <c r="A1" s="18" t="s">
        <v>0</v>
      </c>
    </row>
    <row r="3" ht="15.75" spans="1:34">
      <c r="A3" s="19" t="s">
        <v>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</row>
    <row r="5" ht="15.75" spans="1:34">
      <c r="A5" s="20" t="s">
        <v>29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7" spans="1:34">
      <c r="A7" s="22" t="s">
        <v>3</v>
      </c>
      <c r="B7" s="23">
        <v>1</v>
      </c>
      <c r="C7" s="23">
        <v>2</v>
      </c>
      <c r="D7" s="23">
        <v>3</v>
      </c>
      <c r="E7" s="23">
        <v>4</v>
      </c>
      <c r="F7" s="23">
        <v>5</v>
      </c>
      <c r="G7" s="23">
        <v>6</v>
      </c>
      <c r="H7" s="23">
        <v>7</v>
      </c>
      <c r="I7" s="23">
        <v>8</v>
      </c>
      <c r="J7" s="23">
        <v>9</v>
      </c>
      <c r="K7" s="23">
        <v>10</v>
      </c>
      <c r="L7" s="23">
        <v>11</v>
      </c>
      <c r="M7" s="23">
        <v>12</v>
      </c>
      <c r="N7" s="23">
        <v>13</v>
      </c>
      <c r="O7" s="23">
        <v>14</v>
      </c>
      <c r="P7" s="23">
        <v>15</v>
      </c>
      <c r="Q7" s="23">
        <v>16</v>
      </c>
      <c r="R7" s="23">
        <v>17</v>
      </c>
      <c r="S7" s="23">
        <v>18</v>
      </c>
      <c r="T7" s="23">
        <v>19</v>
      </c>
      <c r="U7" s="23">
        <v>20</v>
      </c>
      <c r="V7" s="23">
        <v>21</v>
      </c>
      <c r="W7" s="23">
        <v>22</v>
      </c>
      <c r="X7" s="23">
        <v>23</v>
      </c>
      <c r="Y7" s="23">
        <v>24</v>
      </c>
      <c r="Z7" s="23">
        <v>25</v>
      </c>
      <c r="AA7" s="23">
        <v>26</v>
      </c>
      <c r="AB7" s="23">
        <v>27</v>
      </c>
      <c r="AC7" s="23">
        <v>28</v>
      </c>
      <c r="AD7" s="23">
        <v>29</v>
      </c>
      <c r="AE7" s="23">
        <v>30</v>
      </c>
      <c r="AF7" s="23">
        <v>31</v>
      </c>
      <c r="AG7" s="24" t="s">
        <v>4</v>
      </c>
      <c r="AH7" s="24" t="s">
        <v>15</v>
      </c>
    </row>
    <row r="8" ht="25.35" customHeight="1" spans="1:34">
      <c r="A8" s="5" t="s">
        <v>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25">
        <f>SUM(B8:AF8)</f>
        <v>0</v>
      </c>
      <c r="AH8" s="25">
        <f>OCTOBRE!AH8+AG8</f>
        <v>0</v>
      </c>
    </row>
    <row r="9" ht="25.35" customHeight="1" spans="1:34">
      <c r="A9" s="5" t="s">
        <v>6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25">
        <f t="shared" ref="AG9:AG17" si="0">SUM(B9:AF9)</f>
        <v>0</v>
      </c>
      <c r="AH9" s="25">
        <f>OCTOBRE!AH9+AG9</f>
        <v>876</v>
      </c>
    </row>
    <row r="10" ht="25.35" customHeight="1" spans="1:34">
      <c r="A10" s="5" t="s">
        <v>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25">
        <f t="shared" si="0"/>
        <v>0</v>
      </c>
      <c r="AH10" s="25">
        <f>OCTOBRE!AH10+AG10</f>
        <v>782</v>
      </c>
    </row>
    <row r="11" ht="25.35" customHeight="1" spans="1:34">
      <c r="A11" s="5" t="s">
        <v>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25">
        <f t="shared" si="0"/>
        <v>0</v>
      </c>
      <c r="AH11" s="25">
        <f>OCTOBRE!AH11+AG11</f>
        <v>730</v>
      </c>
    </row>
    <row r="12" ht="25.35" customHeight="1" spans="1:34">
      <c r="A12" s="5" t="s">
        <v>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25">
        <f t="shared" si="0"/>
        <v>0</v>
      </c>
      <c r="AH12" s="25">
        <f>OCTOBRE!AH12+AG12</f>
        <v>683</v>
      </c>
    </row>
    <row r="13" ht="25.35" customHeight="1" spans="1:34">
      <c r="A13" s="5" t="s">
        <v>10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25">
        <f t="shared" si="0"/>
        <v>0</v>
      </c>
      <c r="AH13" s="25">
        <f>OCTOBRE!AH13+AG13</f>
        <v>697</v>
      </c>
    </row>
    <row r="14" ht="25.35" customHeight="1" spans="1:34">
      <c r="A14" s="5" t="s">
        <v>16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25">
        <f t="shared" ref="AG14" si="1">SUM(B14:AF14)</f>
        <v>0</v>
      </c>
      <c r="AH14" s="25">
        <f>OCTOBRE!AH14+AG14</f>
        <v>1213</v>
      </c>
    </row>
    <row r="15" ht="25.35" customHeight="1" spans="1:34">
      <c r="A15" s="5" t="s">
        <v>17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25">
        <f t="shared" si="0"/>
        <v>0</v>
      </c>
      <c r="AH15" s="25">
        <f>OCTOBRE!AH15+AG15</f>
        <v>909</v>
      </c>
    </row>
    <row r="16" ht="25.35" customHeight="1" spans="1:34">
      <c r="A16" s="5" t="s">
        <v>18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25">
        <f t="shared" si="0"/>
        <v>0</v>
      </c>
      <c r="AH16" s="25">
        <f>OCTOBRE!AH16+AG16</f>
        <v>1276</v>
      </c>
    </row>
    <row r="17" ht="25.35" customHeight="1" spans="1:34">
      <c r="A17" s="5" t="s">
        <v>13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25">
        <f t="shared" si="0"/>
        <v>0</v>
      </c>
      <c r="AH17" s="25">
        <f>OCTOBRE!AH17+AG17</f>
        <v>917</v>
      </c>
    </row>
  </sheetData>
  <mergeCells count="2">
    <mergeCell ref="A3:AH3"/>
    <mergeCell ref="A5:AH5"/>
  </mergeCells>
  <pageMargins left="0.31496062992126" right="0.31496062992126" top="0.748031496062992" bottom="0.748031496062992" header="0.31496062992126" footer="0.31496062992126"/>
  <pageSetup paperSize="9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topLeftCell="A10" workbookViewId="0">
      <selection activeCell="AK11" sqref="AK11"/>
    </sheetView>
  </sheetViews>
  <sheetFormatPr defaultColWidth="11" defaultRowHeight="15"/>
  <cols>
    <col min="1" max="1" width="16" customWidth="1"/>
  </cols>
  <sheetData>
    <row r="1" spans="1:11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39</v>
      </c>
      <c r="K1" s="3" t="s">
        <v>40</v>
      </c>
    </row>
    <row r="2" spans="1:11">
      <c r="A2" s="7" t="s">
        <v>41</v>
      </c>
      <c r="B2" s="7">
        <v>25</v>
      </c>
      <c r="C2" s="7">
        <v>23</v>
      </c>
      <c r="D2" s="7">
        <v>21</v>
      </c>
      <c r="E2" s="7">
        <v>20</v>
      </c>
      <c r="F2" s="7">
        <v>16</v>
      </c>
      <c r="G2" s="7">
        <v>15</v>
      </c>
      <c r="H2" s="7">
        <v>26</v>
      </c>
      <c r="I2" s="7">
        <v>32</v>
      </c>
      <c r="J2" s="7">
        <v>33</v>
      </c>
      <c r="K2" s="7">
        <v>54</v>
      </c>
    </row>
    <row r="3" spans="1:11">
      <c r="A3" s="7" t="s">
        <v>42</v>
      </c>
      <c r="B3" s="7">
        <v>7</v>
      </c>
      <c r="C3" s="7">
        <v>11</v>
      </c>
      <c r="D3" s="7">
        <v>6</v>
      </c>
      <c r="E3" s="7">
        <v>12</v>
      </c>
      <c r="F3" s="7">
        <v>11</v>
      </c>
      <c r="G3" s="7">
        <v>12</v>
      </c>
      <c r="H3" s="7">
        <v>13</v>
      </c>
      <c r="I3" s="7">
        <v>19</v>
      </c>
      <c r="J3" s="7">
        <v>23</v>
      </c>
      <c r="K3" s="7">
        <v>15</v>
      </c>
    </row>
    <row r="4" spans="1:11">
      <c r="A4" s="7" t="s">
        <v>43</v>
      </c>
      <c r="B4" s="7">
        <v>6</v>
      </c>
      <c r="C4" s="7">
        <v>8</v>
      </c>
      <c r="D4" s="7">
        <v>5</v>
      </c>
      <c r="E4" s="7">
        <v>6</v>
      </c>
      <c r="F4" s="7">
        <v>2</v>
      </c>
      <c r="G4" s="7">
        <v>3</v>
      </c>
      <c r="H4" s="7">
        <v>4</v>
      </c>
      <c r="I4" s="7">
        <v>5</v>
      </c>
      <c r="J4" s="7">
        <v>10</v>
      </c>
      <c r="K4" s="7">
        <v>5</v>
      </c>
    </row>
    <row r="5" spans="1:11">
      <c r="A5" s="7" t="s">
        <v>44</v>
      </c>
      <c r="B5" s="7">
        <v>2</v>
      </c>
      <c r="C5" s="7">
        <v>1</v>
      </c>
      <c r="D5" s="7">
        <v>3</v>
      </c>
      <c r="E5" s="7">
        <v>0</v>
      </c>
      <c r="F5" s="7">
        <v>1</v>
      </c>
      <c r="G5" s="7">
        <v>2</v>
      </c>
      <c r="H5" s="7">
        <v>6</v>
      </c>
      <c r="I5" s="7">
        <v>0</v>
      </c>
      <c r="J5" s="7">
        <v>0</v>
      </c>
      <c r="K5" s="7">
        <v>1</v>
      </c>
    </row>
    <row r="6" spans="1:11">
      <c r="A6" s="7" t="s">
        <v>45</v>
      </c>
      <c r="B6" s="7">
        <f>SUM(B2:B5)</f>
        <v>40</v>
      </c>
      <c r="C6" s="7">
        <f t="shared" ref="C6:K6" si="0">SUM(C2:C5)</f>
        <v>43</v>
      </c>
      <c r="D6" s="7">
        <f t="shared" si="0"/>
        <v>35</v>
      </c>
      <c r="E6" s="7">
        <f t="shared" si="0"/>
        <v>38</v>
      </c>
      <c r="F6" s="7">
        <f t="shared" si="0"/>
        <v>30</v>
      </c>
      <c r="G6" s="7">
        <f t="shared" si="0"/>
        <v>32</v>
      </c>
      <c r="H6" s="7">
        <f t="shared" si="0"/>
        <v>49</v>
      </c>
      <c r="I6" s="7">
        <f t="shared" si="0"/>
        <v>56</v>
      </c>
      <c r="J6" s="7">
        <f t="shared" si="0"/>
        <v>66</v>
      </c>
      <c r="K6" s="7">
        <f t="shared" si="0"/>
        <v>75</v>
      </c>
    </row>
    <row r="7" spans="1:2">
      <c r="A7" s="8" t="s">
        <v>46</v>
      </c>
      <c r="B7" s="8"/>
    </row>
    <row r="8" spans="1:2">
      <c r="A8" s="8" t="s">
        <v>47</v>
      </c>
      <c r="B8" s="8"/>
    </row>
    <row r="9" spans="1:2">
      <c r="A9" s="8" t="s">
        <v>48</v>
      </c>
      <c r="B9" s="8"/>
    </row>
    <row r="10" spans="1:2">
      <c r="A10" s="8" t="s">
        <v>49</v>
      </c>
      <c r="B10" s="8"/>
    </row>
    <row r="13" spans="1:11">
      <c r="A13" s="9" t="s">
        <v>50</v>
      </c>
      <c r="B13" s="3" t="s">
        <v>31</v>
      </c>
      <c r="C13" s="3" t="s">
        <v>32</v>
      </c>
      <c r="D13" s="3" t="s">
        <v>33</v>
      </c>
      <c r="E13" s="3" t="s">
        <v>34</v>
      </c>
      <c r="F13" s="3" t="s">
        <v>35</v>
      </c>
      <c r="G13" s="3" t="s">
        <v>36</v>
      </c>
      <c r="H13" s="3" t="s">
        <v>37</v>
      </c>
      <c r="I13" s="3" t="s">
        <v>38</v>
      </c>
      <c r="J13" s="3" t="s">
        <v>39</v>
      </c>
      <c r="K13" s="3" t="s">
        <v>40</v>
      </c>
    </row>
    <row r="14" spans="1:11">
      <c r="A14" s="5" t="s">
        <v>51</v>
      </c>
      <c r="B14" s="6">
        <f ca="1">STDEV(B14:B22)</f>
        <v>0</v>
      </c>
      <c r="C14" s="6">
        <v>0</v>
      </c>
      <c r="D14" s="6">
        <v>2</v>
      </c>
      <c r="E14" s="6">
        <v>3</v>
      </c>
      <c r="F14" s="6">
        <v>0</v>
      </c>
      <c r="G14" s="6">
        <v>0</v>
      </c>
      <c r="H14" s="6">
        <v>25</v>
      </c>
      <c r="I14" s="6">
        <v>30</v>
      </c>
      <c r="J14" s="6">
        <v>7</v>
      </c>
      <c r="K14" s="6">
        <v>41</v>
      </c>
    </row>
    <row r="15" spans="1:11">
      <c r="A15" s="5" t="s">
        <v>52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</row>
    <row r="16" spans="1:11">
      <c r="A16" s="5" t="s">
        <v>53</v>
      </c>
      <c r="B16" s="6">
        <v>5</v>
      </c>
      <c r="C16" s="6">
        <v>0</v>
      </c>
      <c r="D16" s="6">
        <v>3</v>
      </c>
      <c r="E16" s="6">
        <v>3</v>
      </c>
      <c r="F16" s="6">
        <v>23</v>
      </c>
      <c r="G16" s="6">
        <v>48</v>
      </c>
      <c r="H16" s="6">
        <v>81</v>
      </c>
      <c r="I16" s="6">
        <v>21</v>
      </c>
      <c r="J16" s="6">
        <v>30</v>
      </c>
      <c r="K16" s="6">
        <v>90</v>
      </c>
    </row>
    <row r="17" spans="1:11">
      <c r="A17" s="5" t="s">
        <v>54</v>
      </c>
      <c r="B17" s="6">
        <v>116</v>
      </c>
      <c r="C17" s="6">
        <v>92</v>
      </c>
      <c r="D17" s="6">
        <v>73</v>
      </c>
      <c r="E17" s="6">
        <v>99</v>
      </c>
      <c r="F17" s="6">
        <v>74</v>
      </c>
      <c r="G17" s="6">
        <v>95</v>
      </c>
      <c r="H17" s="6">
        <v>218</v>
      </c>
      <c r="I17" s="6">
        <v>202</v>
      </c>
      <c r="J17" s="6">
        <v>169</v>
      </c>
      <c r="K17" s="6">
        <v>320</v>
      </c>
    </row>
    <row r="18" spans="1:11">
      <c r="A18" s="5" t="s">
        <v>55</v>
      </c>
      <c r="B18" s="6">
        <v>65</v>
      </c>
      <c r="C18" s="6">
        <v>120</v>
      </c>
      <c r="D18" s="6">
        <v>224</v>
      </c>
      <c r="E18" s="6">
        <v>148</v>
      </c>
      <c r="F18" s="6">
        <v>234</v>
      </c>
      <c r="G18" s="6">
        <v>195</v>
      </c>
      <c r="H18" s="6">
        <v>245</v>
      </c>
      <c r="I18" s="6">
        <v>142</v>
      </c>
      <c r="J18" s="6">
        <v>262</v>
      </c>
      <c r="K18" s="6">
        <v>268</v>
      </c>
    </row>
    <row r="19" spans="1:11">
      <c r="A19" s="5" t="s">
        <v>56</v>
      </c>
      <c r="B19" s="6">
        <v>172</v>
      </c>
      <c r="C19" s="6">
        <v>159</v>
      </c>
      <c r="D19" s="6">
        <v>209</v>
      </c>
      <c r="E19" s="6">
        <v>160</v>
      </c>
      <c r="F19" s="6">
        <v>183</v>
      </c>
      <c r="G19" s="6">
        <v>143</v>
      </c>
      <c r="H19" s="6">
        <v>342</v>
      </c>
      <c r="I19" s="6">
        <v>248</v>
      </c>
      <c r="J19" s="6">
        <v>233</v>
      </c>
      <c r="K19" s="6">
        <v>321</v>
      </c>
    </row>
    <row r="20" spans="1:11">
      <c r="A20" s="5" t="s">
        <v>57</v>
      </c>
      <c r="B20" s="6">
        <v>420</v>
      </c>
      <c r="C20" s="6">
        <v>365</v>
      </c>
      <c r="D20" s="6">
        <v>422</v>
      </c>
      <c r="E20" s="6">
        <v>212</v>
      </c>
      <c r="F20" s="6">
        <v>174</v>
      </c>
      <c r="G20" s="6">
        <v>288</v>
      </c>
      <c r="H20" s="6">
        <v>242</v>
      </c>
      <c r="I20" s="6">
        <v>281</v>
      </c>
      <c r="J20" s="6">
        <v>215</v>
      </c>
      <c r="K20" s="6">
        <v>262</v>
      </c>
    </row>
    <row r="21" spans="1:11">
      <c r="A21" s="5" t="s">
        <v>58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</row>
    <row r="22" spans="1:11">
      <c r="A22" s="5" t="s">
        <v>59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</row>
    <row r="23" spans="1:11">
      <c r="A23" s="5" t="s">
        <v>60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4</v>
      </c>
      <c r="I23" s="6">
        <v>0</v>
      </c>
      <c r="J23" s="6">
        <v>0</v>
      </c>
      <c r="K23" s="6">
        <v>0</v>
      </c>
    </row>
    <row r="24" spans="1:11">
      <c r="A24" s="5" t="s">
        <v>61</v>
      </c>
      <c r="B24" s="6">
        <f ca="1" t="shared" ref="B24:K24" si="1">SUM(B14:B23)</f>
        <v>736</v>
      </c>
      <c r="C24" s="6">
        <f t="shared" si="1"/>
        <v>736</v>
      </c>
      <c r="D24" s="6">
        <f t="shared" si="1"/>
        <v>933</v>
      </c>
      <c r="E24" s="6">
        <f t="shared" si="1"/>
        <v>625</v>
      </c>
      <c r="F24" s="6">
        <f t="shared" si="1"/>
        <v>688</v>
      </c>
      <c r="G24" s="6">
        <f t="shared" si="1"/>
        <v>769</v>
      </c>
      <c r="H24" s="6">
        <f t="shared" si="1"/>
        <v>1157</v>
      </c>
      <c r="I24" s="6">
        <f t="shared" si="1"/>
        <v>924</v>
      </c>
      <c r="J24" s="6">
        <f t="shared" si="1"/>
        <v>916</v>
      </c>
      <c r="K24" s="6">
        <f t="shared" si="1"/>
        <v>1302</v>
      </c>
    </row>
    <row r="25" spans="1:11">
      <c r="A25" s="10" t="s">
        <v>62</v>
      </c>
      <c r="B25" s="11">
        <f ca="1" t="shared" ref="B25:K25" si="2">AVERAGE(B14:B23)</f>
        <v>0</v>
      </c>
      <c r="C25" s="11">
        <f t="shared" si="2"/>
        <v>73.6</v>
      </c>
      <c r="D25" s="11">
        <f t="shared" si="2"/>
        <v>93.3</v>
      </c>
      <c r="E25" s="11">
        <f t="shared" si="2"/>
        <v>62.5</v>
      </c>
      <c r="F25" s="11">
        <f t="shared" si="2"/>
        <v>68.8</v>
      </c>
      <c r="G25" s="11">
        <f t="shared" si="2"/>
        <v>76.9</v>
      </c>
      <c r="H25" s="11">
        <f t="shared" si="2"/>
        <v>115.7</v>
      </c>
      <c r="I25" s="11">
        <f t="shared" si="2"/>
        <v>92.4</v>
      </c>
      <c r="J25" s="11">
        <f t="shared" si="2"/>
        <v>91.6</v>
      </c>
      <c r="K25" s="11">
        <f t="shared" si="2"/>
        <v>130.2</v>
      </c>
    </row>
    <row r="26" spans="1:11">
      <c r="A26" s="10" t="s">
        <v>63</v>
      </c>
      <c r="B26" s="11">
        <v>139.13</v>
      </c>
      <c r="C26" s="11">
        <f t="shared" ref="C26:K26" si="3">STDEV(C14:C23)</f>
        <v>118.883883591418</v>
      </c>
      <c r="D26" s="11">
        <f t="shared" si="3"/>
        <v>145.386114268943</v>
      </c>
      <c r="E26" s="11">
        <f t="shared" si="3"/>
        <v>83.8016838865558</v>
      </c>
      <c r="F26" s="11">
        <f t="shared" si="3"/>
        <v>92.6112544156726</v>
      </c>
      <c r="G26" s="11">
        <f t="shared" si="3"/>
        <v>101.986328059751</v>
      </c>
      <c r="H26" s="11">
        <f t="shared" si="3"/>
        <v>131.830741651727</v>
      </c>
      <c r="I26" s="11">
        <f t="shared" si="3"/>
        <v>114.210526854771</v>
      </c>
      <c r="J26" s="11">
        <f t="shared" si="3"/>
        <v>112.921998644098</v>
      </c>
      <c r="K26" s="11">
        <f t="shared" si="3"/>
        <v>143.824584515691</v>
      </c>
    </row>
    <row r="30" spans="1:11">
      <c r="A30" s="9" t="s">
        <v>50</v>
      </c>
      <c r="B30" s="3" t="s">
        <v>31</v>
      </c>
      <c r="C30" s="3" t="s">
        <v>32</v>
      </c>
      <c r="D30" s="3" t="s">
        <v>33</v>
      </c>
      <c r="E30" s="3" t="s">
        <v>34</v>
      </c>
      <c r="F30" s="3" t="s">
        <v>35</v>
      </c>
      <c r="G30" s="3" t="s">
        <v>36</v>
      </c>
      <c r="H30" s="3" t="s">
        <v>37</v>
      </c>
      <c r="I30" s="3" t="s">
        <v>38</v>
      </c>
      <c r="J30" s="3" t="s">
        <v>39</v>
      </c>
      <c r="K30" s="3" t="s">
        <v>40</v>
      </c>
    </row>
    <row r="31" spans="1:11">
      <c r="A31" s="5" t="s">
        <v>51</v>
      </c>
      <c r="B31" s="6">
        <f ca="1">STDEV(B31:B37)</f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</row>
    <row r="32" spans="1:11">
      <c r="A32" s="5" t="s">
        <v>52</v>
      </c>
      <c r="B32" s="6">
        <v>17</v>
      </c>
      <c r="C32" s="6">
        <v>1</v>
      </c>
      <c r="D32" s="6">
        <v>3</v>
      </c>
      <c r="E32" s="6">
        <v>0</v>
      </c>
      <c r="F32" s="6">
        <v>0</v>
      </c>
      <c r="G32" s="6">
        <v>0</v>
      </c>
      <c r="H32" s="6">
        <v>5</v>
      </c>
      <c r="I32" s="6">
        <v>13</v>
      </c>
      <c r="J32" s="6">
        <v>1</v>
      </c>
      <c r="K32" s="6">
        <v>5</v>
      </c>
    </row>
    <row r="33" spans="1:11">
      <c r="A33" s="5" t="s">
        <v>53</v>
      </c>
      <c r="B33" s="6">
        <v>1</v>
      </c>
      <c r="C33" s="6">
        <v>0</v>
      </c>
      <c r="D33" s="6">
        <v>4</v>
      </c>
      <c r="E33" s="6">
        <v>4</v>
      </c>
      <c r="F33" s="6">
        <v>0</v>
      </c>
      <c r="G33" s="6">
        <v>12</v>
      </c>
      <c r="H33" s="6">
        <v>58</v>
      </c>
      <c r="I33" s="6">
        <v>57</v>
      </c>
      <c r="J33" s="6">
        <v>111</v>
      </c>
      <c r="K33" s="6">
        <v>60</v>
      </c>
    </row>
    <row r="34" spans="1:11">
      <c r="A34" s="5" t="s">
        <v>54</v>
      </c>
      <c r="B34" s="6">
        <v>18</v>
      </c>
      <c r="C34" s="6">
        <v>81</v>
      </c>
      <c r="D34" s="6">
        <v>62</v>
      </c>
      <c r="E34" s="6">
        <v>74</v>
      </c>
      <c r="F34" s="6">
        <v>51</v>
      </c>
      <c r="G34" s="6">
        <v>43</v>
      </c>
      <c r="H34" s="6">
        <v>177</v>
      </c>
      <c r="I34" s="6">
        <v>93</v>
      </c>
      <c r="J34" s="6">
        <v>141</v>
      </c>
      <c r="K34" s="6">
        <v>61</v>
      </c>
    </row>
    <row r="35" spans="1:11">
      <c r="A35" s="5" t="s">
        <v>55</v>
      </c>
      <c r="B35" s="6">
        <v>205</v>
      </c>
      <c r="C35" s="6">
        <v>90</v>
      </c>
      <c r="D35" s="6">
        <v>108</v>
      </c>
      <c r="E35" s="6">
        <v>176</v>
      </c>
      <c r="F35" s="6">
        <v>132</v>
      </c>
      <c r="G35" s="6">
        <v>162</v>
      </c>
      <c r="H35" s="6">
        <v>260</v>
      </c>
      <c r="I35" s="6">
        <v>133</v>
      </c>
      <c r="J35" s="6">
        <v>232</v>
      </c>
      <c r="K35" s="6">
        <v>162</v>
      </c>
    </row>
    <row r="36" spans="1:11">
      <c r="A36" s="5" t="s">
        <v>56</v>
      </c>
      <c r="B36" s="6">
        <v>151</v>
      </c>
      <c r="C36" s="6">
        <v>255</v>
      </c>
      <c r="D36" s="6">
        <v>184</v>
      </c>
      <c r="E36" s="6">
        <v>133</v>
      </c>
      <c r="F36" s="6">
        <v>169</v>
      </c>
      <c r="G36" s="6">
        <v>178</v>
      </c>
      <c r="H36" s="6">
        <v>344</v>
      </c>
      <c r="I36" s="6">
        <v>220</v>
      </c>
      <c r="J36" s="6">
        <v>262</v>
      </c>
      <c r="K36" s="6">
        <v>242</v>
      </c>
    </row>
    <row r="37" spans="1:11">
      <c r="A37" s="5" t="s">
        <v>57</v>
      </c>
      <c r="B37" s="6">
        <v>325</v>
      </c>
      <c r="C37" s="6">
        <v>252</v>
      </c>
      <c r="D37" s="6">
        <v>263</v>
      </c>
      <c r="E37" s="6">
        <v>129</v>
      </c>
      <c r="F37" s="6">
        <v>74</v>
      </c>
      <c r="G37" s="6">
        <v>147</v>
      </c>
      <c r="H37" s="6">
        <v>121</v>
      </c>
      <c r="I37" s="6">
        <v>198</v>
      </c>
      <c r="J37" s="6">
        <v>244</v>
      </c>
      <c r="K37" s="6">
        <v>138</v>
      </c>
    </row>
    <row r="38" spans="1:11">
      <c r="A38" s="12" t="s">
        <v>64</v>
      </c>
      <c r="B38" s="13">
        <v>717</v>
      </c>
      <c r="C38" s="13">
        <f t="shared" ref="C38:K38" si="4">SUM(C31:C37)</f>
        <v>679</v>
      </c>
      <c r="D38" s="13">
        <f t="shared" si="4"/>
        <v>624</v>
      </c>
      <c r="E38" s="13">
        <f t="shared" si="4"/>
        <v>516</v>
      </c>
      <c r="F38" s="13">
        <f t="shared" si="4"/>
        <v>426</v>
      </c>
      <c r="G38" s="13">
        <f t="shared" si="4"/>
        <v>542</v>
      </c>
      <c r="H38" s="13">
        <f t="shared" si="4"/>
        <v>965</v>
      </c>
      <c r="I38" s="13">
        <f t="shared" si="4"/>
        <v>714</v>
      </c>
      <c r="J38" s="13">
        <f t="shared" si="4"/>
        <v>991</v>
      </c>
      <c r="K38" s="13">
        <f t="shared" si="4"/>
        <v>668</v>
      </c>
    </row>
    <row r="39" spans="1:11">
      <c r="A39" s="14" t="s">
        <v>61</v>
      </c>
      <c r="B39" s="15">
        <v>778</v>
      </c>
      <c r="C39" s="15">
        <v>736</v>
      </c>
      <c r="D39" s="15">
        <v>933</v>
      </c>
      <c r="E39" s="15">
        <v>625</v>
      </c>
      <c r="F39" s="15">
        <v>688</v>
      </c>
      <c r="G39" s="15">
        <v>769</v>
      </c>
      <c r="H39" s="15">
        <v>1157</v>
      </c>
      <c r="I39" s="15">
        <v>924</v>
      </c>
      <c r="J39" s="15">
        <v>916</v>
      </c>
      <c r="K39" s="15">
        <v>1302</v>
      </c>
    </row>
    <row r="40" ht="15.75" spans="1:11">
      <c r="A40" s="16" t="s">
        <v>65</v>
      </c>
      <c r="B40" s="17">
        <f>B38-B39</f>
        <v>-61</v>
      </c>
      <c r="C40" s="17">
        <f t="shared" ref="C40:K40" si="5">C38-C39</f>
        <v>-57</v>
      </c>
      <c r="D40" s="17">
        <f t="shared" si="5"/>
        <v>-309</v>
      </c>
      <c r="E40" s="17">
        <f t="shared" si="5"/>
        <v>-109</v>
      </c>
      <c r="F40" s="17">
        <f t="shared" si="5"/>
        <v>-262</v>
      </c>
      <c r="G40" s="17">
        <f t="shared" si="5"/>
        <v>-227</v>
      </c>
      <c r="H40" s="17">
        <f t="shared" si="5"/>
        <v>-192</v>
      </c>
      <c r="I40" s="17">
        <f t="shared" si="5"/>
        <v>-210</v>
      </c>
      <c r="J40" s="17">
        <f t="shared" si="5"/>
        <v>75</v>
      </c>
      <c r="K40" s="17">
        <f t="shared" si="5"/>
        <v>-634</v>
      </c>
    </row>
  </sheetData>
  <mergeCells count="4">
    <mergeCell ref="A7:B7"/>
    <mergeCell ref="A8:B8"/>
    <mergeCell ref="A9:B9"/>
    <mergeCell ref="A10:B10"/>
  </mergeCells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M15"/>
  <sheetViews>
    <sheetView topLeftCell="AW1" workbookViewId="0">
      <selection activeCell="AK11" sqref="AK11"/>
    </sheetView>
  </sheetViews>
  <sheetFormatPr defaultColWidth="11" defaultRowHeight="15"/>
  <cols>
    <col min="2" max="2" width="6.71428571428571" customWidth="1"/>
    <col min="3" max="3" width="5.71428571428571" customWidth="1"/>
    <col min="4" max="4" width="6.85714285714286" customWidth="1"/>
    <col min="5" max="5" width="5.71428571428571" customWidth="1"/>
    <col min="6" max="6" width="7.28571428571429" customWidth="1"/>
    <col min="7" max="7" width="7.71428571428571" customWidth="1"/>
    <col min="8" max="8" width="6.85714285714286" customWidth="1"/>
    <col min="9" max="9" width="6.57142857142857" customWidth="1"/>
  </cols>
  <sheetData>
    <row r="2" spans="4:60">
      <c r="D2" s="1">
        <v>44013</v>
      </c>
      <c r="E2" s="1"/>
      <c r="Z2" t="s">
        <v>55</v>
      </c>
      <c r="AL2" t="s">
        <v>54</v>
      </c>
      <c r="AX2" t="s">
        <v>53</v>
      </c>
      <c r="BH2" t="s">
        <v>52</v>
      </c>
    </row>
    <row r="3" spans="15:15">
      <c r="O3" t="s">
        <v>57</v>
      </c>
    </row>
    <row r="4" spans="1:65">
      <c r="A4" s="2" t="s">
        <v>3</v>
      </c>
      <c r="B4" s="3" t="s">
        <v>66</v>
      </c>
      <c r="C4" s="3"/>
      <c r="D4" s="3" t="s">
        <v>67</v>
      </c>
      <c r="E4" s="3"/>
      <c r="F4" s="3" t="s">
        <v>68</v>
      </c>
      <c r="G4" s="3"/>
      <c r="H4" s="3" t="s">
        <v>69</v>
      </c>
      <c r="I4" s="3"/>
      <c r="L4" s="2" t="s">
        <v>3</v>
      </c>
      <c r="M4" s="3" t="s">
        <v>66</v>
      </c>
      <c r="N4" s="3"/>
      <c r="O4" s="3" t="s">
        <v>67</v>
      </c>
      <c r="P4" s="3"/>
      <c r="Q4" s="3" t="s">
        <v>68</v>
      </c>
      <c r="R4" s="3"/>
      <c r="S4" s="3" t="s">
        <v>69</v>
      </c>
      <c r="T4" s="3"/>
      <c r="W4" s="2" t="s">
        <v>3</v>
      </c>
      <c r="X4" s="3" t="s">
        <v>66</v>
      </c>
      <c r="Y4" s="3"/>
      <c r="Z4" s="3" t="s">
        <v>67</v>
      </c>
      <c r="AA4" s="3"/>
      <c r="AB4" s="3" t="s">
        <v>68</v>
      </c>
      <c r="AC4" s="3"/>
      <c r="AD4" s="3" t="s">
        <v>69</v>
      </c>
      <c r="AE4" s="3"/>
      <c r="AH4" s="2" t="s">
        <v>3</v>
      </c>
      <c r="AI4" s="3" t="s">
        <v>66</v>
      </c>
      <c r="AJ4" s="3"/>
      <c r="AK4" s="3" t="s">
        <v>67</v>
      </c>
      <c r="AL4" s="3"/>
      <c r="AM4" s="3" t="s">
        <v>68</v>
      </c>
      <c r="AN4" s="3"/>
      <c r="AO4" s="3" t="s">
        <v>69</v>
      </c>
      <c r="AP4" s="3"/>
      <c r="AT4" s="2" t="s">
        <v>3</v>
      </c>
      <c r="AU4" s="3" t="s">
        <v>66</v>
      </c>
      <c r="AV4" s="3"/>
      <c r="AW4" s="3" t="s">
        <v>67</v>
      </c>
      <c r="AX4" s="3"/>
      <c r="AY4" s="3" t="s">
        <v>68</v>
      </c>
      <c r="AZ4" s="3"/>
      <c r="BA4" s="3" t="s">
        <v>69</v>
      </c>
      <c r="BB4" s="3"/>
      <c r="BE4" s="2" t="s">
        <v>3</v>
      </c>
      <c r="BF4" s="3" t="s">
        <v>66</v>
      </c>
      <c r="BG4" s="3"/>
      <c r="BH4" s="3" t="s">
        <v>67</v>
      </c>
      <c r="BI4" s="3"/>
      <c r="BJ4" s="3" t="s">
        <v>68</v>
      </c>
      <c r="BK4" s="3"/>
      <c r="BL4" s="3" t="s">
        <v>69</v>
      </c>
      <c r="BM4" s="3"/>
    </row>
    <row r="5" ht="32.25" customHeight="1" spans="1:65">
      <c r="A5" s="2"/>
      <c r="B5" s="4" t="s">
        <v>70</v>
      </c>
      <c r="C5" s="4" t="s">
        <v>71</v>
      </c>
      <c r="D5" s="4" t="s">
        <v>70</v>
      </c>
      <c r="E5" s="4" t="s">
        <v>71</v>
      </c>
      <c r="F5" s="4" t="s">
        <v>70</v>
      </c>
      <c r="G5" s="4" t="s">
        <v>71</v>
      </c>
      <c r="H5" s="4" t="s">
        <v>70</v>
      </c>
      <c r="I5" s="4" t="s">
        <v>71</v>
      </c>
      <c r="L5" s="2"/>
      <c r="M5" s="4" t="s">
        <v>70</v>
      </c>
      <c r="N5" s="4" t="s">
        <v>71</v>
      </c>
      <c r="O5" s="4" t="s">
        <v>70</v>
      </c>
      <c r="P5" s="4" t="s">
        <v>71</v>
      </c>
      <c r="Q5" s="4" t="s">
        <v>70</v>
      </c>
      <c r="R5" s="4" t="s">
        <v>71</v>
      </c>
      <c r="S5" s="4" t="s">
        <v>70</v>
      </c>
      <c r="T5" s="4" t="s">
        <v>71</v>
      </c>
      <c r="W5" s="2"/>
      <c r="X5" s="4" t="s">
        <v>70</v>
      </c>
      <c r="Y5" s="4" t="s">
        <v>71</v>
      </c>
      <c r="Z5" s="4" t="s">
        <v>70</v>
      </c>
      <c r="AA5" s="4" t="s">
        <v>71</v>
      </c>
      <c r="AB5" s="4" t="s">
        <v>70</v>
      </c>
      <c r="AC5" s="4" t="s">
        <v>71</v>
      </c>
      <c r="AD5" s="4" t="s">
        <v>70</v>
      </c>
      <c r="AE5" s="4" t="s">
        <v>71</v>
      </c>
      <c r="AH5" s="2"/>
      <c r="AI5" s="4" t="s">
        <v>70</v>
      </c>
      <c r="AJ5" s="4" t="s">
        <v>71</v>
      </c>
      <c r="AK5" s="4" t="s">
        <v>70</v>
      </c>
      <c r="AL5" s="4" t="s">
        <v>71</v>
      </c>
      <c r="AM5" s="4" t="s">
        <v>70</v>
      </c>
      <c r="AN5" s="4" t="s">
        <v>71</v>
      </c>
      <c r="AO5" s="4" t="s">
        <v>70</v>
      </c>
      <c r="AP5" s="4" t="s">
        <v>71</v>
      </c>
      <c r="AT5" s="2"/>
      <c r="AU5" s="4" t="s">
        <v>70</v>
      </c>
      <c r="AV5" s="4" t="s">
        <v>71</v>
      </c>
      <c r="AW5" s="4" t="s">
        <v>70</v>
      </c>
      <c r="AX5" s="4" t="s">
        <v>71</v>
      </c>
      <c r="AY5" s="4" t="s">
        <v>70</v>
      </c>
      <c r="AZ5" s="4" t="s">
        <v>71</v>
      </c>
      <c r="BA5" s="4" t="s">
        <v>70</v>
      </c>
      <c r="BB5" s="4" t="s">
        <v>71</v>
      </c>
      <c r="BE5" s="2"/>
      <c r="BF5" s="4" t="s">
        <v>70</v>
      </c>
      <c r="BG5" s="4" t="s">
        <v>71</v>
      </c>
      <c r="BH5" s="4" t="s">
        <v>70</v>
      </c>
      <c r="BI5" s="4" t="s">
        <v>71</v>
      </c>
      <c r="BJ5" s="4" t="s">
        <v>70</v>
      </c>
      <c r="BK5" s="4" t="s">
        <v>71</v>
      </c>
      <c r="BL5" s="4" t="s">
        <v>70</v>
      </c>
      <c r="BM5" s="4" t="s">
        <v>71</v>
      </c>
    </row>
    <row r="6" spans="1:65">
      <c r="A6" s="5" t="s">
        <v>5</v>
      </c>
      <c r="B6" s="6">
        <f>SUM(JUILLET!B8:K8)</f>
        <v>13</v>
      </c>
      <c r="C6" s="6">
        <v>8</v>
      </c>
      <c r="D6" s="6">
        <f>SUM(JUILLET!L8:U8)</f>
        <v>62</v>
      </c>
      <c r="E6" s="6">
        <v>6</v>
      </c>
      <c r="F6" s="6">
        <f>SUM(JUILLET!V8:AF8)</f>
        <v>76</v>
      </c>
      <c r="G6" s="6">
        <v>6</v>
      </c>
      <c r="H6" s="6">
        <f>B6+D6+F6</f>
        <v>151</v>
      </c>
      <c r="I6" s="6">
        <f>C6+E6+G6</f>
        <v>20</v>
      </c>
      <c r="L6" s="5" t="s">
        <v>5</v>
      </c>
      <c r="M6" s="6">
        <f>SUM(AOÛT!B8:K8)</f>
        <v>39</v>
      </c>
      <c r="N6" s="6">
        <v>8</v>
      </c>
      <c r="O6" s="6">
        <f>SUM(AOÛT!L8:U8)</f>
        <v>64</v>
      </c>
      <c r="P6" s="6">
        <v>6</v>
      </c>
      <c r="Q6" s="6">
        <f>SUM(AOÛT!V8:AF8)</f>
        <v>222</v>
      </c>
      <c r="R6" s="6">
        <v>5</v>
      </c>
      <c r="S6" s="6">
        <f>M6+O6+Q6</f>
        <v>325</v>
      </c>
      <c r="T6" s="6">
        <f>N6+P6+R6</f>
        <v>19</v>
      </c>
      <c r="W6" s="5" t="s">
        <v>5</v>
      </c>
      <c r="X6" s="6">
        <f>SUM(JUIN!B8:K8)</f>
        <v>37</v>
      </c>
      <c r="Y6" s="6">
        <v>7</v>
      </c>
      <c r="Z6" s="6">
        <f>SUM(JUIN!L8:U8)</f>
        <v>77</v>
      </c>
      <c r="AA6" s="6">
        <v>6</v>
      </c>
      <c r="AB6" s="6">
        <f>SUM(JUIN!V8:AF8)</f>
        <v>91</v>
      </c>
      <c r="AC6" s="6">
        <v>6</v>
      </c>
      <c r="AD6" s="6">
        <f>X6+Z6+AB6</f>
        <v>205</v>
      </c>
      <c r="AE6" s="6">
        <f>Y6+AA6+AC6</f>
        <v>19</v>
      </c>
      <c r="AH6" s="5" t="s">
        <v>5</v>
      </c>
      <c r="AI6" s="6">
        <f>SUM(MAI!B8:K8)</f>
        <v>12</v>
      </c>
      <c r="AJ6" s="6">
        <v>7</v>
      </c>
      <c r="AK6" s="6">
        <f>SUM(MAI!L8:U8)</f>
        <v>4</v>
      </c>
      <c r="AL6" s="6">
        <v>9</v>
      </c>
      <c r="AM6" s="6">
        <f>SUM(MAI!V8:AF8)</f>
        <v>2</v>
      </c>
      <c r="AN6" s="6">
        <v>9</v>
      </c>
      <c r="AO6" s="6">
        <f>AI6+AK6+AM6</f>
        <v>18</v>
      </c>
      <c r="AP6" s="6">
        <f>AJ6+AL6+AN6</f>
        <v>25</v>
      </c>
      <c r="AT6" s="5" t="s">
        <v>5</v>
      </c>
      <c r="AU6" s="6">
        <f>SUM(AVRIL!B8:K8)</f>
        <v>1</v>
      </c>
      <c r="AV6" s="6">
        <v>9</v>
      </c>
      <c r="AW6" s="6">
        <f>SUM(AVRIL!L8:U8)</f>
        <v>0</v>
      </c>
      <c r="AX6" s="6">
        <v>10</v>
      </c>
      <c r="AY6" s="6">
        <f>SUM(AVRIL!V8:AE8)</f>
        <v>0</v>
      </c>
      <c r="AZ6" s="6">
        <v>10</v>
      </c>
      <c r="BA6" s="6">
        <f>AU6+AW6+AY6</f>
        <v>1</v>
      </c>
      <c r="BB6" s="6">
        <f>AV6+AX6+AZ6</f>
        <v>29</v>
      </c>
      <c r="BE6" s="5" t="s">
        <v>5</v>
      </c>
      <c r="BF6" s="6">
        <f>SUM(MARS!B8:K8)</f>
        <v>0</v>
      </c>
      <c r="BG6" s="6">
        <v>10</v>
      </c>
      <c r="BH6" s="6">
        <f>SUM(MARS!L8:U8)</f>
        <v>0</v>
      </c>
      <c r="BI6" s="6">
        <v>10</v>
      </c>
      <c r="BJ6" s="6">
        <f>SUM(MARS!V8:AF8)</f>
        <v>17</v>
      </c>
      <c r="BK6" s="6">
        <v>10</v>
      </c>
      <c r="BL6" s="6">
        <f>BF6+BH6+BJ6</f>
        <v>17</v>
      </c>
      <c r="BM6" s="6">
        <f>BG6+BI6+BK6</f>
        <v>30</v>
      </c>
    </row>
    <row r="7" spans="1:65">
      <c r="A7" s="5" t="s">
        <v>6</v>
      </c>
      <c r="B7" s="6">
        <f>SUM(JUILLET!B9:K9)</f>
        <v>2</v>
      </c>
      <c r="C7" s="6">
        <v>8</v>
      </c>
      <c r="D7" s="6">
        <f>SUM(JUILLET!L9:U9)</f>
        <v>69</v>
      </c>
      <c r="E7" s="6">
        <v>6</v>
      </c>
      <c r="F7" s="6">
        <f>SUM(JUILLET!V9:AF9)</f>
        <v>184</v>
      </c>
      <c r="G7" s="6">
        <v>6</v>
      </c>
      <c r="H7" s="6">
        <f t="shared" ref="H7:H15" si="0">B7+D7+F7</f>
        <v>255</v>
      </c>
      <c r="I7" s="6">
        <f t="shared" ref="I7:I15" si="1">C7+E7+G7</f>
        <v>20</v>
      </c>
      <c r="L7" s="5" t="s">
        <v>6</v>
      </c>
      <c r="M7" s="6">
        <f>SUM(AOÛT!B9:K9)</f>
        <v>49</v>
      </c>
      <c r="N7" s="6">
        <v>8</v>
      </c>
      <c r="O7" s="6">
        <f>SUM(AOÛT!L9:U9)</f>
        <v>87</v>
      </c>
      <c r="P7" s="6">
        <v>6</v>
      </c>
      <c r="Q7" s="6">
        <f>SUM(AOÛT!V9:AF9)</f>
        <v>116</v>
      </c>
      <c r="R7" s="6">
        <v>5</v>
      </c>
      <c r="S7" s="6">
        <f t="shared" ref="S7:S15" si="2">M7+O7+Q7</f>
        <v>252</v>
      </c>
      <c r="T7" s="6">
        <f t="shared" ref="T7:T15" si="3">N7+P7+R7</f>
        <v>19</v>
      </c>
      <c r="W7" s="5" t="s">
        <v>6</v>
      </c>
      <c r="X7" s="6">
        <f>SUM(JUIN!B9:K9)</f>
        <v>13</v>
      </c>
      <c r="Y7" s="6">
        <v>7</v>
      </c>
      <c r="Z7" s="6">
        <f>SUM(JUIN!L9:U9)</f>
        <v>33</v>
      </c>
      <c r="AA7" s="6">
        <v>5</v>
      </c>
      <c r="AB7" s="6">
        <f>SUM(JUIN!V9:AF9)</f>
        <v>44</v>
      </c>
      <c r="AC7" s="6">
        <v>5</v>
      </c>
      <c r="AD7" s="6">
        <f t="shared" ref="AD7:AD15" si="4">X7+Z7+AB7</f>
        <v>90</v>
      </c>
      <c r="AE7" s="6">
        <f t="shared" ref="AE7:AE15" si="5">Y7+AA7+AC7</f>
        <v>17</v>
      </c>
      <c r="AH7" s="5" t="s">
        <v>6</v>
      </c>
      <c r="AI7" s="6">
        <f>SUM(MAI!B9:K9)</f>
        <v>5</v>
      </c>
      <c r="AJ7" s="6">
        <v>9</v>
      </c>
      <c r="AK7" s="6">
        <f>SUM(MAI!L9:U9)</f>
        <v>61</v>
      </c>
      <c r="AL7" s="6">
        <v>8</v>
      </c>
      <c r="AM7" s="6">
        <f>SUM(MAI!V9:AF9)</f>
        <v>15</v>
      </c>
      <c r="AN7" s="6">
        <v>8</v>
      </c>
      <c r="AO7" s="6">
        <f t="shared" ref="AO7:AO15" si="6">AI7+AK7+AM7</f>
        <v>81</v>
      </c>
      <c r="AP7" s="6">
        <f t="shared" ref="AP7:AP15" si="7">AJ7+AL7+AN7</f>
        <v>25</v>
      </c>
      <c r="AT7" s="5" t="s">
        <v>6</v>
      </c>
      <c r="AU7" s="6">
        <f>SUM(AVRIL!B9:K9)</f>
        <v>0</v>
      </c>
      <c r="AV7" s="6">
        <v>10</v>
      </c>
      <c r="AW7" s="6">
        <f>SUM(AVRIL!L9:U9)</f>
        <v>0</v>
      </c>
      <c r="AX7" s="6">
        <v>10</v>
      </c>
      <c r="AY7" s="6">
        <f>SUM(AVRIL!V9:AE9)</f>
        <v>0</v>
      </c>
      <c r="AZ7" s="6">
        <v>10</v>
      </c>
      <c r="BA7" s="6">
        <f t="shared" ref="BA7:BA15" si="8">AU7+AW7+AY7</f>
        <v>0</v>
      </c>
      <c r="BB7" s="6">
        <f t="shared" ref="BB7:BB15" si="9">AV7+AX7+AZ7</f>
        <v>30</v>
      </c>
      <c r="BE7" s="5" t="s">
        <v>6</v>
      </c>
      <c r="BF7" s="6">
        <f>SUM(MARS!B9:K9)</f>
        <v>0</v>
      </c>
      <c r="BG7" s="6">
        <v>10</v>
      </c>
      <c r="BH7" s="6">
        <f>SUM(MARS!L9:U9)</f>
        <v>0</v>
      </c>
      <c r="BI7" s="6">
        <v>10</v>
      </c>
      <c r="BJ7" s="6">
        <f>SUM(MARS!V9:AF9)</f>
        <v>1</v>
      </c>
      <c r="BK7" s="6">
        <v>10</v>
      </c>
      <c r="BL7" s="6">
        <f t="shared" ref="BL7:BL15" si="10">BF7+BH7+BJ7</f>
        <v>1</v>
      </c>
      <c r="BM7" s="6">
        <f t="shared" ref="BM7:BM15" si="11">BG7+BI7+BK7</f>
        <v>30</v>
      </c>
    </row>
    <row r="8" spans="1:65">
      <c r="A8" s="5" t="s">
        <v>7</v>
      </c>
      <c r="B8" s="6">
        <f>SUM(JUILLET!B10:K10)</f>
        <v>16</v>
      </c>
      <c r="C8" s="6">
        <v>8</v>
      </c>
      <c r="D8" s="6">
        <f>SUM(JUILLET!L10:U10)</f>
        <v>39</v>
      </c>
      <c r="E8" s="6">
        <v>6</v>
      </c>
      <c r="F8" s="6">
        <f>SUM(JUILLET!V10:AF10)</f>
        <v>129</v>
      </c>
      <c r="G8" s="6">
        <v>7</v>
      </c>
      <c r="H8" s="6">
        <f t="shared" si="0"/>
        <v>184</v>
      </c>
      <c r="I8" s="6">
        <f t="shared" si="1"/>
        <v>21</v>
      </c>
      <c r="L8" s="5" t="s">
        <v>7</v>
      </c>
      <c r="M8" s="6">
        <f>SUM(AOÛT!B10:K10)</f>
        <v>75</v>
      </c>
      <c r="N8" s="6">
        <v>8</v>
      </c>
      <c r="O8" s="6">
        <f>SUM(AOÛT!L10:U10)</f>
        <v>88</v>
      </c>
      <c r="P8" s="6">
        <v>6</v>
      </c>
      <c r="Q8" s="6">
        <f>SUM(AOÛT!V10:AF10)</f>
        <v>100</v>
      </c>
      <c r="R8" s="6">
        <v>8</v>
      </c>
      <c r="S8" s="6">
        <f t="shared" si="2"/>
        <v>263</v>
      </c>
      <c r="T8" s="6">
        <f t="shared" si="3"/>
        <v>22</v>
      </c>
      <c r="W8" s="5" t="s">
        <v>7</v>
      </c>
      <c r="X8" s="6">
        <f>SUM(JUIN!B10:K10)</f>
        <v>16</v>
      </c>
      <c r="Y8" s="6">
        <v>7</v>
      </c>
      <c r="Z8" s="6">
        <f>SUM(JUIN!L10:U10)</f>
        <v>28</v>
      </c>
      <c r="AA8" s="6">
        <v>8</v>
      </c>
      <c r="AB8" s="6">
        <f>SUM(JUIN!V10:AF10)</f>
        <v>64</v>
      </c>
      <c r="AC8" s="6">
        <v>7</v>
      </c>
      <c r="AD8" s="6">
        <f t="shared" si="4"/>
        <v>108</v>
      </c>
      <c r="AE8" s="6">
        <f t="shared" si="5"/>
        <v>22</v>
      </c>
      <c r="AH8" s="5" t="s">
        <v>7</v>
      </c>
      <c r="AI8" s="6">
        <f>SUM(MAI!B10:K10)</f>
        <v>4</v>
      </c>
      <c r="AJ8" s="6">
        <v>8</v>
      </c>
      <c r="AK8" s="6">
        <f>SUM(MAI!L10:U10)</f>
        <v>54</v>
      </c>
      <c r="AL8" s="6">
        <v>7</v>
      </c>
      <c r="AM8" s="6">
        <f>SUM(MAI!V10:AF10)</f>
        <v>4</v>
      </c>
      <c r="AN8" s="6">
        <v>9</v>
      </c>
      <c r="AO8" s="6">
        <f t="shared" si="6"/>
        <v>62</v>
      </c>
      <c r="AP8" s="6">
        <f t="shared" si="7"/>
        <v>24</v>
      </c>
      <c r="AT8" s="5" t="s">
        <v>7</v>
      </c>
      <c r="AU8" s="6">
        <f>SUM(AVRIL!B10:K10)</f>
        <v>0</v>
      </c>
      <c r="AV8" s="6">
        <v>10</v>
      </c>
      <c r="AW8" s="6">
        <f>SUM(AVRIL!L10:U10)</f>
        <v>0</v>
      </c>
      <c r="AX8" s="6">
        <v>10</v>
      </c>
      <c r="AY8" s="6">
        <f>SUM(AVRIL!V10:AE10)</f>
        <v>4</v>
      </c>
      <c r="AZ8" s="6">
        <v>9</v>
      </c>
      <c r="BA8" s="6">
        <f t="shared" si="8"/>
        <v>4</v>
      </c>
      <c r="BB8" s="6">
        <f t="shared" si="9"/>
        <v>29</v>
      </c>
      <c r="BE8" s="5" t="s">
        <v>7</v>
      </c>
      <c r="BF8" s="6">
        <f>SUM(MARS!B10:K10)</f>
        <v>0</v>
      </c>
      <c r="BG8" s="6">
        <v>10</v>
      </c>
      <c r="BH8" s="6">
        <f>SUM(MARS!L10:U10)</f>
        <v>0</v>
      </c>
      <c r="BI8" s="6">
        <v>10</v>
      </c>
      <c r="BJ8" s="6">
        <f>SUM(MARS!V10:AF10)</f>
        <v>3</v>
      </c>
      <c r="BK8" s="6">
        <v>10</v>
      </c>
      <c r="BL8" s="6">
        <f t="shared" si="10"/>
        <v>3</v>
      </c>
      <c r="BM8" s="6">
        <f t="shared" si="11"/>
        <v>30</v>
      </c>
    </row>
    <row r="9" spans="1:65">
      <c r="A9" s="5" t="s">
        <v>8</v>
      </c>
      <c r="B9" s="6">
        <f>SUM(JUILLET!B11:K11)</f>
        <v>0</v>
      </c>
      <c r="C9" s="6">
        <v>10</v>
      </c>
      <c r="D9" s="6">
        <f>SUM(JUILLET!L11:U11)</f>
        <v>43</v>
      </c>
      <c r="E9" s="6">
        <v>8</v>
      </c>
      <c r="F9" s="6">
        <f>SUM(JUILLET!V11:AF11)</f>
        <v>90</v>
      </c>
      <c r="G9" s="6">
        <v>8</v>
      </c>
      <c r="H9" s="6">
        <f t="shared" si="0"/>
        <v>133</v>
      </c>
      <c r="I9" s="6">
        <f t="shared" si="1"/>
        <v>26</v>
      </c>
      <c r="L9" s="5" t="s">
        <v>8</v>
      </c>
      <c r="M9" s="6">
        <f>SUM(AOÛT!B11:K11)</f>
        <v>21</v>
      </c>
      <c r="N9" s="6">
        <v>10</v>
      </c>
      <c r="O9" s="6">
        <f>SUM(AOÛT!L11:U11)</f>
        <v>36</v>
      </c>
      <c r="P9" s="6">
        <v>8</v>
      </c>
      <c r="Q9" s="6">
        <f>SUM(AOÛT!V11:AF11)</f>
        <v>72</v>
      </c>
      <c r="R9" s="6">
        <v>6</v>
      </c>
      <c r="S9" s="6">
        <f t="shared" si="2"/>
        <v>129</v>
      </c>
      <c r="T9" s="6">
        <f t="shared" si="3"/>
        <v>24</v>
      </c>
      <c r="W9" s="5" t="s">
        <v>8</v>
      </c>
      <c r="X9" s="6">
        <f>SUM(JUIN!B11:K11)</f>
        <v>43</v>
      </c>
      <c r="Y9" s="6">
        <v>7</v>
      </c>
      <c r="Z9" s="6">
        <f>SUM(JUIN!L11:U11)</f>
        <v>86</v>
      </c>
      <c r="AA9" s="6">
        <v>6</v>
      </c>
      <c r="AB9" s="6">
        <f>SUM(JUIN!V11:AF11)</f>
        <v>47</v>
      </c>
      <c r="AC9" s="6">
        <v>7</v>
      </c>
      <c r="AD9" s="6">
        <f t="shared" si="4"/>
        <v>176</v>
      </c>
      <c r="AE9" s="6">
        <f t="shared" si="5"/>
        <v>20</v>
      </c>
      <c r="AH9" s="5" t="s">
        <v>8</v>
      </c>
      <c r="AI9" s="6">
        <f>SUM(MAI!B11:K11)</f>
        <v>16</v>
      </c>
      <c r="AJ9" s="6">
        <v>6</v>
      </c>
      <c r="AK9" s="6">
        <f>SUM(MAI!L11:U11)</f>
        <v>14</v>
      </c>
      <c r="AL9" s="6">
        <v>8</v>
      </c>
      <c r="AM9" s="6">
        <f>SUM(MAI!V11:AF11)</f>
        <v>44</v>
      </c>
      <c r="AN9" s="6">
        <v>7</v>
      </c>
      <c r="AO9" s="6">
        <f t="shared" si="6"/>
        <v>74</v>
      </c>
      <c r="AP9" s="6">
        <f t="shared" si="7"/>
        <v>21</v>
      </c>
      <c r="AT9" s="5" t="s">
        <v>8</v>
      </c>
      <c r="AU9" s="6">
        <f>SUM(AVRIL!B11:K11)</f>
        <v>0</v>
      </c>
      <c r="AV9" s="6">
        <v>10</v>
      </c>
      <c r="AW9" s="6">
        <f>SUM(AVRIL!L11:U11)</f>
        <v>0</v>
      </c>
      <c r="AX9" s="6">
        <v>10</v>
      </c>
      <c r="AY9" s="6">
        <f>SUM(AVRIL!V11:AE11)</f>
        <v>4</v>
      </c>
      <c r="AZ9" s="6">
        <v>8</v>
      </c>
      <c r="BA9" s="6">
        <f t="shared" si="8"/>
        <v>4</v>
      </c>
      <c r="BB9" s="6">
        <f t="shared" si="9"/>
        <v>28</v>
      </c>
      <c r="BE9" s="5" t="s">
        <v>8</v>
      </c>
      <c r="BF9" s="6">
        <f>SUM(MARS!B11:K11)</f>
        <v>0</v>
      </c>
      <c r="BG9" s="6">
        <v>10</v>
      </c>
      <c r="BH9" s="6">
        <f>SUM(MARS!L11:U11)</f>
        <v>0</v>
      </c>
      <c r="BI9" s="6">
        <v>10</v>
      </c>
      <c r="BJ9" s="6">
        <f>SUM(MARS!V11:AF11)</f>
        <v>0</v>
      </c>
      <c r="BK9" s="6">
        <v>11</v>
      </c>
      <c r="BL9" s="6">
        <f t="shared" si="10"/>
        <v>0</v>
      </c>
      <c r="BM9" s="6">
        <f t="shared" si="11"/>
        <v>31</v>
      </c>
    </row>
    <row r="10" spans="1:65">
      <c r="A10" s="5" t="s">
        <v>9</v>
      </c>
      <c r="B10" s="6">
        <f>SUM(JUILLET!B12:K12)</f>
        <v>50</v>
      </c>
      <c r="C10" s="6">
        <v>7</v>
      </c>
      <c r="D10" s="6">
        <f>SUM(JUILLET!L12:U12)</f>
        <v>34</v>
      </c>
      <c r="E10" s="6">
        <v>7</v>
      </c>
      <c r="F10" s="6">
        <f>SUM(JUILLET!V12:AF12)</f>
        <v>85</v>
      </c>
      <c r="G10" s="6">
        <v>6</v>
      </c>
      <c r="H10" s="6">
        <f t="shared" si="0"/>
        <v>169</v>
      </c>
      <c r="I10" s="6">
        <f t="shared" si="1"/>
        <v>20</v>
      </c>
      <c r="L10" s="5" t="s">
        <v>9</v>
      </c>
      <c r="M10" s="6">
        <f>SUM(AOÛT!B12:K12)</f>
        <v>36</v>
      </c>
      <c r="N10" s="6">
        <v>7</v>
      </c>
      <c r="O10" s="6">
        <f>SUM(AOÛT!L12:U12)</f>
        <v>8</v>
      </c>
      <c r="P10" s="6">
        <v>7</v>
      </c>
      <c r="Q10" s="6">
        <f>SUM(AOÛT!V12:AF12)</f>
        <v>30</v>
      </c>
      <c r="R10" s="6">
        <v>9</v>
      </c>
      <c r="S10" s="6">
        <f t="shared" si="2"/>
        <v>74</v>
      </c>
      <c r="T10" s="6">
        <f t="shared" si="3"/>
        <v>23</v>
      </c>
      <c r="W10" s="5" t="s">
        <v>9</v>
      </c>
      <c r="X10" s="6">
        <f>SUM(JUIN!B12:K12)</f>
        <v>29</v>
      </c>
      <c r="Y10" s="6">
        <v>7</v>
      </c>
      <c r="Z10" s="6">
        <f>SUM(JUIN!L12:U12)</f>
        <v>47</v>
      </c>
      <c r="AA10" s="6">
        <v>6</v>
      </c>
      <c r="AB10" s="6">
        <f>SUM(JUIN!V12:AF12)</f>
        <v>56</v>
      </c>
      <c r="AC10" s="6">
        <v>7</v>
      </c>
      <c r="AD10" s="6">
        <f t="shared" si="4"/>
        <v>132</v>
      </c>
      <c r="AE10" s="6">
        <f t="shared" si="5"/>
        <v>20</v>
      </c>
      <c r="AH10" s="5" t="s">
        <v>9</v>
      </c>
      <c r="AI10" s="6">
        <f>SUM(MAI!B12:K12)</f>
        <v>0</v>
      </c>
      <c r="AJ10" s="6">
        <v>10</v>
      </c>
      <c r="AK10" s="6">
        <f>SUM(MAI!L12:U12)</f>
        <v>30</v>
      </c>
      <c r="AL10" s="6">
        <v>8</v>
      </c>
      <c r="AM10" s="6">
        <f>SUM(MAI!V12:AF12)</f>
        <v>21</v>
      </c>
      <c r="AN10" s="6">
        <v>8</v>
      </c>
      <c r="AO10" s="6">
        <f t="shared" si="6"/>
        <v>51</v>
      </c>
      <c r="AP10" s="6">
        <f t="shared" si="7"/>
        <v>26</v>
      </c>
      <c r="AT10" s="5" t="s">
        <v>9</v>
      </c>
      <c r="AU10" s="6">
        <f>SUM(AVRIL!B12:K12)</f>
        <v>0</v>
      </c>
      <c r="AV10" s="6">
        <v>10</v>
      </c>
      <c r="AW10" s="6">
        <f>SUM(AVRIL!L12:U12)</f>
        <v>0</v>
      </c>
      <c r="AX10" s="6">
        <v>10</v>
      </c>
      <c r="AY10" s="6">
        <f>SUM(AVRIL!V12:AE12)</f>
        <v>0</v>
      </c>
      <c r="AZ10" s="6">
        <v>10</v>
      </c>
      <c r="BA10" s="6">
        <f t="shared" si="8"/>
        <v>0</v>
      </c>
      <c r="BB10" s="6">
        <f t="shared" si="9"/>
        <v>30</v>
      </c>
      <c r="BE10" s="5" t="s">
        <v>9</v>
      </c>
      <c r="BF10" s="6">
        <f>SUM(MARS!B12:K12)</f>
        <v>0</v>
      </c>
      <c r="BG10" s="6">
        <v>10</v>
      </c>
      <c r="BH10" s="6">
        <f>SUM(MARS!L12:U12)</f>
        <v>0</v>
      </c>
      <c r="BI10" s="6">
        <v>10</v>
      </c>
      <c r="BJ10" s="6">
        <f>SUM(MARS!V12:AF12)</f>
        <v>0</v>
      </c>
      <c r="BK10" s="6">
        <v>11</v>
      </c>
      <c r="BL10" s="6">
        <f t="shared" si="10"/>
        <v>0</v>
      </c>
      <c r="BM10" s="6">
        <f t="shared" si="11"/>
        <v>31</v>
      </c>
    </row>
    <row r="11" spans="1:65">
      <c r="A11" s="5" t="s">
        <v>10</v>
      </c>
      <c r="B11" s="6">
        <f>SUM(JUILLET!B13:K13)</f>
        <v>30</v>
      </c>
      <c r="C11" s="6">
        <v>7</v>
      </c>
      <c r="D11" s="6">
        <f>SUM(JUILLET!L13:U13)</f>
        <v>51</v>
      </c>
      <c r="E11" s="6">
        <v>8</v>
      </c>
      <c r="F11" s="6">
        <f>SUM(JUILLET!V13:AF13)</f>
        <v>97</v>
      </c>
      <c r="G11" s="6">
        <v>8</v>
      </c>
      <c r="H11" s="6">
        <f t="shared" si="0"/>
        <v>178</v>
      </c>
      <c r="I11" s="6">
        <f t="shared" si="1"/>
        <v>23</v>
      </c>
      <c r="L11" s="5" t="s">
        <v>10</v>
      </c>
      <c r="M11" s="6">
        <f>SUM(AOÛT!B13:K13)</f>
        <v>81</v>
      </c>
      <c r="N11" s="6">
        <v>7</v>
      </c>
      <c r="O11" s="6">
        <f>SUM(AOÛT!L13:U13)</f>
        <v>29</v>
      </c>
      <c r="P11" s="6">
        <v>8</v>
      </c>
      <c r="Q11" s="6">
        <f>SUM(AOÛT!V13:AF13)</f>
        <v>37</v>
      </c>
      <c r="R11" s="6">
        <v>8</v>
      </c>
      <c r="S11" s="6">
        <f t="shared" si="2"/>
        <v>147</v>
      </c>
      <c r="T11" s="6">
        <f t="shared" si="3"/>
        <v>23</v>
      </c>
      <c r="W11" s="5" t="s">
        <v>10</v>
      </c>
      <c r="X11" s="6">
        <f>SUM(JUIN!B13:K13)</f>
        <v>40</v>
      </c>
      <c r="Y11" s="6">
        <v>8</v>
      </c>
      <c r="Z11" s="6">
        <f>SUM(JUIN!L13:U13)</f>
        <v>47</v>
      </c>
      <c r="AA11" s="6">
        <v>5</v>
      </c>
      <c r="AB11" s="6">
        <f>SUM(JUIN!V13:AF13)</f>
        <v>75</v>
      </c>
      <c r="AC11" s="6">
        <v>7</v>
      </c>
      <c r="AD11" s="6">
        <f t="shared" si="4"/>
        <v>162</v>
      </c>
      <c r="AE11" s="6">
        <f t="shared" si="5"/>
        <v>20</v>
      </c>
      <c r="AH11" s="5" t="s">
        <v>10</v>
      </c>
      <c r="AI11" s="6">
        <f>SUM(MAI!B13:K13)</f>
        <v>3</v>
      </c>
      <c r="AJ11" s="6">
        <v>9</v>
      </c>
      <c r="AK11" s="6">
        <f>SUM(MAI!L13:U13)</f>
        <v>34</v>
      </c>
      <c r="AL11" s="6">
        <v>9</v>
      </c>
      <c r="AM11" s="6">
        <f>SUM(MAI!V13:AF13)</f>
        <v>6</v>
      </c>
      <c r="AN11" s="6">
        <v>9</v>
      </c>
      <c r="AO11" s="6">
        <f t="shared" si="6"/>
        <v>43</v>
      </c>
      <c r="AP11" s="6">
        <f t="shared" si="7"/>
        <v>27</v>
      </c>
      <c r="AT11" s="5" t="s">
        <v>10</v>
      </c>
      <c r="AU11" s="6">
        <f>SUM(AVRIL!B13:K13)</f>
        <v>3</v>
      </c>
      <c r="AV11" s="6">
        <v>9</v>
      </c>
      <c r="AW11" s="6">
        <f>SUM(AVRIL!L13:U13)</f>
        <v>0</v>
      </c>
      <c r="AX11" s="6">
        <v>10</v>
      </c>
      <c r="AY11" s="6">
        <f>SUM(AVRIL!V13:AE13)</f>
        <v>9</v>
      </c>
      <c r="AZ11" s="6">
        <v>8</v>
      </c>
      <c r="BA11" s="6">
        <f t="shared" si="8"/>
        <v>12</v>
      </c>
      <c r="BB11" s="6">
        <f t="shared" si="9"/>
        <v>27</v>
      </c>
      <c r="BE11" s="5" t="s">
        <v>10</v>
      </c>
      <c r="BF11" s="6">
        <f>SUM(MARS!B13:K13)</f>
        <v>0</v>
      </c>
      <c r="BG11" s="6">
        <v>10</v>
      </c>
      <c r="BH11" s="6">
        <f>SUM(MARS!L13:U13)</f>
        <v>0</v>
      </c>
      <c r="BI11" s="6">
        <v>10</v>
      </c>
      <c r="BJ11" s="6">
        <f>SUM(MARS!V13:AF13)</f>
        <v>0</v>
      </c>
      <c r="BK11" s="6">
        <v>11</v>
      </c>
      <c r="BL11" s="6">
        <f t="shared" si="10"/>
        <v>0</v>
      </c>
      <c r="BM11" s="6">
        <f t="shared" si="11"/>
        <v>31</v>
      </c>
    </row>
    <row r="12" spans="1:65">
      <c r="A12" s="5" t="s">
        <v>16</v>
      </c>
      <c r="B12" s="6">
        <f>SUM(JUILLET!B14:K14)</f>
        <v>82</v>
      </c>
      <c r="C12" s="6">
        <v>5</v>
      </c>
      <c r="D12" s="6">
        <f>SUM(JUILLET!L14:U14)</f>
        <v>100</v>
      </c>
      <c r="E12" s="6">
        <v>7</v>
      </c>
      <c r="F12" s="6">
        <f>SUM(JUILLET!V14:AF14)</f>
        <v>162</v>
      </c>
      <c r="G12" s="6">
        <v>5</v>
      </c>
      <c r="H12" s="6">
        <f t="shared" si="0"/>
        <v>344</v>
      </c>
      <c r="I12" s="6">
        <f t="shared" si="1"/>
        <v>17</v>
      </c>
      <c r="L12" s="5" t="s">
        <v>16</v>
      </c>
      <c r="M12" s="6">
        <f>SUM(AOÛT!B14:K14)</f>
        <v>12</v>
      </c>
      <c r="N12" s="6">
        <v>5</v>
      </c>
      <c r="O12" s="6">
        <f>SUM(AOÛT!L14:U14)</f>
        <v>22</v>
      </c>
      <c r="P12" s="6">
        <v>7</v>
      </c>
      <c r="Q12" s="6">
        <f>SUM(AOÛT!V14:AF14)</f>
        <v>87</v>
      </c>
      <c r="R12" s="6">
        <v>6</v>
      </c>
      <c r="S12" s="6">
        <f t="shared" si="2"/>
        <v>121</v>
      </c>
      <c r="T12" s="6">
        <f t="shared" si="3"/>
        <v>18</v>
      </c>
      <c r="W12" s="5" t="s">
        <v>16</v>
      </c>
      <c r="X12" s="6">
        <f>SUM(JUIN!B14:K14)</f>
        <v>93</v>
      </c>
      <c r="Y12" s="6">
        <v>6</v>
      </c>
      <c r="Z12" s="6">
        <f>SUM(JUIN!L14:U14)</f>
        <v>78</v>
      </c>
      <c r="AA12" s="6">
        <v>7</v>
      </c>
      <c r="AB12" s="6">
        <f>SUM(JUIN!V14:AF14)</f>
        <v>89</v>
      </c>
      <c r="AC12" s="6">
        <v>6</v>
      </c>
      <c r="AD12" s="6">
        <f t="shared" si="4"/>
        <v>260</v>
      </c>
      <c r="AE12" s="6">
        <f t="shared" si="5"/>
        <v>19</v>
      </c>
      <c r="AH12" s="5" t="s">
        <v>16</v>
      </c>
      <c r="AI12" s="6">
        <f>SUM(MAI!B14:K14)</f>
        <v>93</v>
      </c>
      <c r="AJ12" s="6">
        <v>8</v>
      </c>
      <c r="AK12" s="6">
        <f>SUM(MAI!L14:U14)</f>
        <v>68</v>
      </c>
      <c r="AL12" s="6">
        <v>7</v>
      </c>
      <c r="AM12" s="6">
        <f>SUM(MAI!V14:AF14)</f>
        <v>16</v>
      </c>
      <c r="AN12" s="6">
        <v>7</v>
      </c>
      <c r="AO12" s="6">
        <f t="shared" si="6"/>
        <v>177</v>
      </c>
      <c r="AP12" s="6">
        <f t="shared" si="7"/>
        <v>22</v>
      </c>
      <c r="AT12" s="5" t="s">
        <v>16</v>
      </c>
      <c r="AU12" s="6">
        <f>SUM(AVRIL!B14:K14)</f>
        <v>19</v>
      </c>
      <c r="AV12" s="6">
        <v>9</v>
      </c>
      <c r="AW12" s="6">
        <f>SUM(AVRIL!L14:U14)</f>
        <v>0</v>
      </c>
      <c r="AX12" s="6">
        <v>10</v>
      </c>
      <c r="AY12" s="6">
        <f>SUM(AVRIL!V14:AE14)</f>
        <v>39</v>
      </c>
      <c r="AZ12" s="6">
        <v>6</v>
      </c>
      <c r="BA12" s="6">
        <f t="shared" si="8"/>
        <v>58</v>
      </c>
      <c r="BB12" s="6">
        <f t="shared" si="9"/>
        <v>25</v>
      </c>
      <c r="BE12" s="5" t="s">
        <v>16</v>
      </c>
      <c r="BF12" s="6">
        <f>SUM(MARS!B14:K14)</f>
        <v>0</v>
      </c>
      <c r="BG12" s="6">
        <v>10</v>
      </c>
      <c r="BH12" s="6">
        <f>SUM(MARS!L14:U14)</f>
        <v>0</v>
      </c>
      <c r="BI12" s="6">
        <v>10</v>
      </c>
      <c r="BJ12" s="6">
        <f>SUM(MARS!V14:AF14)</f>
        <v>5</v>
      </c>
      <c r="BK12" s="6">
        <v>10</v>
      </c>
      <c r="BL12" s="6">
        <f t="shared" si="10"/>
        <v>5</v>
      </c>
      <c r="BM12" s="6">
        <f t="shared" si="11"/>
        <v>30</v>
      </c>
    </row>
    <row r="13" spans="1:65">
      <c r="A13" s="5" t="s">
        <v>17</v>
      </c>
      <c r="B13" s="6">
        <f>SUM(JUILLET!B15:K15)</f>
        <v>15</v>
      </c>
      <c r="C13" s="6">
        <v>7</v>
      </c>
      <c r="D13" s="6">
        <f>SUM(JUILLET!L15:U15)</f>
        <v>129</v>
      </c>
      <c r="E13" s="6">
        <v>2</v>
      </c>
      <c r="F13" s="6">
        <f>SUM(JUILLET!V15:AF15)</f>
        <v>76</v>
      </c>
      <c r="G13" s="6">
        <v>8</v>
      </c>
      <c r="H13" s="6">
        <f t="shared" si="0"/>
        <v>220</v>
      </c>
      <c r="I13" s="6">
        <f t="shared" si="1"/>
        <v>17</v>
      </c>
      <c r="L13" s="5" t="s">
        <v>17</v>
      </c>
      <c r="M13" s="6">
        <f>SUM(AOÛT!B15:K15)</f>
        <v>53</v>
      </c>
      <c r="N13" s="6">
        <v>7</v>
      </c>
      <c r="O13" s="6">
        <f>SUM(AOÛT!L15:U15)</f>
        <v>32</v>
      </c>
      <c r="P13" s="6">
        <v>2</v>
      </c>
      <c r="Q13" s="6">
        <f>SUM(AOÛT!V15:AF15)</f>
        <v>113</v>
      </c>
      <c r="R13" s="6">
        <v>5</v>
      </c>
      <c r="S13" s="6">
        <f t="shared" si="2"/>
        <v>198</v>
      </c>
      <c r="T13" s="6">
        <f t="shared" si="3"/>
        <v>14</v>
      </c>
      <c r="W13" s="5" t="s">
        <v>17</v>
      </c>
      <c r="X13" s="6">
        <f>SUM(JUIN!B15:K15)</f>
        <v>34</v>
      </c>
      <c r="Y13" s="6">
        <v>5</v>
      </c>
      <c r="Z13" s="6">
        <f>SUM(JUIN!L15:U15)</f>
        <v>74</v>
      </c>
      <c r="AA13" s="6">
        <v>6</v>
      </c>
      <c r="AB13" s="6">
        <f>SUM(JUIN!V15:AF15)</f>
        <v>25</v>
      </c>
      <c r="AC13" s="6">
        <v>7</v>
      </c>
      <c r="AD13" s="6">
        <f t="shared" si="4"/>
        <v>133</v>
      </c>
      <c r="AE13" s="6">
        <f t="shared" si="5"/>
        <v>18</v>
      </c>
      <c r="AH13" s="5" t="s">
        <v>17</v>
      </c>
      <c r="AI13" s="6">
        <f>SUM(MAI!B15:K15)</f>
        <v>38</v>
      </c>
      <c r="AJ13" s="6">
        <v>7</v>
      </c>
      <c r="AK13" s="6">
        <f>SUM(MAI!L15:U15)</f>
        <v>16</v>
      </c>
      <c r="AL13" s="6">
        <v>9</v>
      </c>
      <c r="AM13" s="6">
        <f>SUM(MAI!V15:AF15)</f>
        <v>39</v>
      </c>
      <c r="AN13" s="6">
        <v>7</v>
      </c>
      <c r="AO13" s="6">
        <f t="shared" si="6"/>
        <v>93</v>
      </c>
      <c r="AP13" s="6">
        <f t="shared" si="7"/>
        <v>23</v>
      </c>
      <c r="AT13" s="5" t="s">
        <v>17</v>
      </c>
      <c r="AU13" s="6">
        <f>SUM(AVRIL!B15:K15)</f>
        <v>34</v>
      </c>
      <c r="AV13" s="6">
        <v>7</v>
      </c>
      <c r="AW13" s="6">
        <f>SUM(AVRIL!L15:U15)</f>
        <v>0</v>
      </c>
      <c r="AX13" s="6">
        <v>10</v>
      </c>
      <c r="AY13" s="6">
        <f>SUM(AVRIL!V15:AE15)</f>
        <v>23</v>
      </c>
      <c r="AZ13" s="6">
        <v>6</v>
      </c>
      <c r="BA13" s="6">
        <f t="shared" si="8"/>
        <v>57</v>
      </c>
      <c r="BB13" s="6">
        <f t="shared" si="9"/>
        <v>23</v>
      </c>
      <c r="BE13" s="5" t="s">
        <v>17</v>
      </c>
      <c r="BF13" s="6">
        <f>SUM(MARS!B15:K15)</f>
        <v>0</v>
      </c>
      <c r="BG13" s="6">
        <v>10</v>
      </c>
      <c r="BH13" s="6">
        <f>SUM(MARS!L15:U15)</f>
        <v>0</v>
      </c>
      <c r="BI13" s="6">
        <v>10</v>
      </c>
      <c r="BJ13" s="6">
        <f>SUM(MARS!V15:AF15)</f>
        <v>13</v>
      </c>
      <c r="BK13" s="6">
        <v>9</v>
      </c>
      <c r="BL13" s="6">
        <f t="shared" si="10"/>
        <v>13</v>
      </c>
      <c r="BM13" s="6">
        <f t="shared" si="11"/>
        <v>29</v>
      </c>
    </row>
    <row r="14" spans="1:65">
      <c r="A14" s="5" t="s">
        <v>18</v>
      </c>
      <c r="B14" s="6">
        <f>SUM(JUILLET!B16:K16)</f>
        <v>57</v>
      </c>
      <c r="C14" s="6">
        <v>6</v>
      </c>
      <c r="D14" s="6">
        <f>SUM(JUILLET!L16:U16)</f>
        <v>94</v>
      </c>
      <c r="E14" s="6">
        <v>2</v>
      </c>
      <c r="F14" s="6">
        <f>SUM(JUILLET!V16:AF16)</f>
        <v>111</v>
      </c>
      <c r="G14" s="6">
        <v>3</v>
      </c>
      <c r="H14" s="6">
        <f t="shared" si="0"/>
        <v>262</v>
      </c>
      <c r="I14" s="6">
        <f t="shared" si="1"/>
        <v>11</v>
      </c>
      <c r="L14" s="5" t="s">
        <v>18</v>
      </c>
      <c r="M14" s="6">
        <f>SUM(AOÛT!B16:K16)</f>
        <v>67</v>
      </c>
      <c r="N14" s="6">
        <v>6</v>
      </c>
      <c r="O14" s="6">
        <f>SUM(AOÛT!L16:U16)</f>
        <v>91</v>
      </c>
      <c r="P14" s="6">
        <v>2</v>
      </c>
      <c r="Q14" s="6">
        <f>SUM(AOÛT!V16:AF16)</f>
        <v>86</v>
      </c>
      <c r="R14" s="6">
        <v>6</v>
      </c>
      <c r="S14" s="6">
        <f t="shared" si="2"/>
        <v>244</v>
      </c>
      <c r="T14" s="6">
        <f t="shared" si="3"/>
        <v>14</v>
      </c>
      <c r="W14" s="5" t="s">
        <v>18</v>
      </c>
      <c r="X14" s="6">
        <f>SUM(JUIN!B16:K16)</f>
        <v>74</v>
      </c>
      <c r="Y14" s="6">
        <v>5</v>
      </c>
      <c r="Z14" s="6">
        <f>SUM(JUIN!L16:U16)</f>
        <v>106</v>
      </c>
      <c r="AA14" s="6">
        <v>4</v>
      </c>
      <c r="AB14" s="6">
        <f>SUM(JUIN!V16:AF16)</f>
        <v>52</v>
      </c>
      <c r="AC14" s="6">
        <v>8</v>
      </c>
      <c r="AD14" s="6">
        <f t="shared" si="4"/>
        <v>232</v>
      </c>
      <c r="AE14" s="6">
        <f t="shared" si="5"/>
        <v>17</v>
      </c>
      <c r="AH14" s="5" t="s">
        <v>18</v>
      </c>
      <c r="AI14" s="6">
        <f>SUM(MAI!B16:K16)</f>
        <v>56</v>
      </c>
      <c r="AJ14" s="6">
        <v>6</v>
      </c>
      <c r="AK14" s="6">
        <f>SUM(MAI!L16:U16)</f>
        <v>20</v>
      </c>
      <c r="AL14" s="6">
        <v>9</v>
      </c>
      <c r="AM14" s="6">
        <f>SUM(MAI!V16:AF16)</f>
        <v>65</v>
      </c>
      <c r="AN14" s="6">
        <v>8</v>
      </c>
      <c r="AO14" s="6">
        <f t="shared" si="6"/>
        <v>141</v>
      </c>
      <c r="AP14" s="6">
        <f t="shared" si="7"/>
        <v>23</v>
      </c>
      <c r="AT14" s="5" t="s">
        <v>18</v>
      </c>
      <c r="AU14" s="6">
        <f>SUM(AVRIL!B16:K16)</f>
        <v>30</v>
      </c>
      <c r="AV14" s="6">
        <v>6</v>
      </c>
      <c r="AW14" s="6">
        <f>SUM(AVRIL!L16:U16)</f>
        <v>54</v>
      </c>
      <c r="AX14" s="6">
        <v>8</v>
      </c>
      <c r="AY14" s="6">
        <f>SUM(AVRIL!V16:AE16)</f>
        <v>27</v>
      </c>
      <c r="AZ14" s="6">
        <v>8</v>
      </c>
      <c r="BA14" s="6">
        <f t="shared" si="8"/>
        <v>111</v>
      </c>
      <c r="BB14" s="6">
        <f t="shared" si="9"/>
        <v>22</v>
      </c>
      <c r="BE14" s="5" t="s">
        <v>18</v>
      </c>
      <c r="BF14" s="6">
        <f>SUM(MARS!B16:K16)</f>
        <v>0</v>
      </c>
      <c r="BG14" s="6">
        <v>10</v>
      </c>
      <c r="BH14" s="6">
        <f>SUM(MARS!L16:U16)</f>
        <v>0</v>
      </c>
      <c r="BI14" s="6">
        <v>10</v>
      </c>
      <c r="BJ14" s="6">
        <f>SUM(MARS!V16:AF16)</f>
        <v>1</v>
      </c>
      <c r="BK14" s="6">
        <v>10</v>
      </c>
      <c r="BL14" s="6">
        <f t="shared" si="10"/>
        <v>1</v>
      </c>
      <c r="BM14" s="6">
        <f t="shared" si="11"/>
        <v>30</v>
      </c>
    </row>
    <row r="15" spans="1:65">
      <c r="A15" s="5" t="s">
        <v>13</v>
      </c>
      <c r="B15" s="6">
        <f>SUM(JUILLET!B17:K17)</f>
        <v>75</v>
      </c>
      <c r="C15" s="6">
        <v>4</v>
      </c>
      <c r="D15" s="6">
        <f>SUM(JUILLET!L17:U17)</f>
        <v>56</v>
      </c>
      <c r="E15" s="6">
        <v>1</v>
      </c>
      <c r="F15" s="6">
        <f>SUM(JUILLET!V17:AF17)</f>
        <v>111</v>
      </c>
      <c r="G15" s="6">
        <v>3</v>
      </c>
      <c r="H15" s="6">
        <f t="shared" si="0"/>
        <v>242</v>
      </c>
      <c r="I15" s="6">
        <f t="shared" si="1"/>
        <v>8</v>
      </c>
      <c r="L15" s="5" t="s">
        <v>13</v>
      </c>
      <c r="M15" s="6">
        <f>SUM(AOÛT!B17:K17)</f>
        <v>19</v>
      </c>
      <c r="N15" s="6">
        <v>4</v>
      </c>
      <c r="O15" s="6">
        <f>SUM(AOÛT!L17:U17)</f>
        <v>37</v>
      </c>
      <c r="P15" s="6">
        <v>1</v>
      </c>
      <c r="Q15" s="6">
        <f>SUM(AOÛT!V17:AF17)</f>
        <v>82</v>
      </c>
      <c r="R15" s="6">
        <v>2</v>
      </c>
      <c r="S15" s="6">
        <f t="shared" si="2"/>
        <v>138</v>
      </c>
      <c r="T15" s="6">
        <f t="shared" si="3"/>
        <v>7</v>
      </c>
      <c r="W15" s="5" t="s">
        <v>13</v>
      </c>
      <c r="X15" s="6">
        <f>SUM(JUIN!B17:K17)</f>
        <v>49</v>
      </c>
      <c r="Y15" s="6">
        <v>7</v>
      </c>
      <c r="Z15" s="6">
        <f>SUM(JUIN!L17:U17)</f>
        <v>89</v>
      </c>
      <c r="AA15" s="6">
        <v>4</v>
      </c>
      <c r="AB15" s="6">
        <f>SUM(JUIN!V17:AF17)</f>
        <v>24</v>
      </c>
      <c r="AC15" s="6">
        <v>7</v>
      </c>
      <c r="AD15" s="6">
        <f t="shared" si="4"/>
        <v>162</v>
      </c>
      <c r="AE15" s="6">
        <f t="shared" si="5"/>
        <v>18</v>
      </c>
      <c r="AH15" s="5" t="s">
        <v>13</v>
      </c>
      <c r="AI15" s="6">
        <f>SUM(MAI!B17:K17)</f>
        <v>7</v>
      </c>
      <c r="AJ15" s="6">
        <v>8</v>
      </c>
      <c r="AK15" s="6">
        <f>SUM(MAI!L17:U17)</f>
        <v>24</v>
      </c>
      <c r="AL15" s="6">
        <v>4</v>
      </c>
      <c r="AM15" s="6">
        <f>SUM(MAI!V17:AF17)</f>
        <v>30</v>
      </c>
      <c r="AN15" s="6">
        <v>8</v>
      </c>
      <c r="AO15" s="6">
        <f t="shared" si="6"/>
        <v>61</v>
      </c>
      <c r="AP15" s="6">
        <f t="shared" si="7"/>
        <v>20</v>
      </c>
      <c r="AT15" s="5" t="s">
        <v>13</v>
      </c>
      <c r="AU15" s="6">
        <f>SUM(AVRIL!B17:K17)</f>
        <v>49</v>
      </c>
      <c r="AV15" s="6">
        <v>5</v>
      </c>
      <c r="AW15" s="6">
        <f>SUM(AVRIL!L17:U17)</f>
        <v>2</v>
      </c>
      <c r="AX15" s="6">
        <v>8</v>
      </c>
      <c r="AY15" s="6">
        <f>SUM(AVRIL!V17:AE17)</f>
        <v>9</v>
      </c>
      <c r="AZ15" s="6">
        <v>5</v>
      </c>
      <c r="BA15" s="6">
        <f t="shared" si="8"/>
        <v>60</v>
      </c>
      <c r="BB15" s="6">
        <f t="shared" si="9"/>
        <v>18</v>
      </c>
      <c r="BE15" s="5" t="s">
        <v>13</v>
      </c>
      <c r="BF15" s="6">
        <f>SUM(MARS!B17:K17)</f>
        <v>0</v>
      </c>
      <c r="BG15" s="6">
        <v>10</v>
      </c>
      <c r="BH15" s="6">
        <f>SUM(MARS!L17:U17)</f>
        <v>0</v>
      </c>
      <c r="BI15" s="6">
        <v>10</v>
      </c>
      <c r="BJ15" s="6">
        <f>SUM(MARS!V17:AF17)</f>
        <v>5</v>
      </c>
      <c r="BK15" s="6">
        <v>8</v>
      </c>
      <c r="BL15" s="6">
        <f t="shared" si="10"/>
        <v>5</v>
      </c>
      <c r="BM15" s="6">
        <f t="shared" si="11"/>
        <v>28</v>
      </c>
    </row>
  </sheetData>
  <mergeCells count="31">
    <mergeCell ref="D2:E2"/>
    <mergeCell ref="B4:C4"/>
    <mergeCell ref="D4:E4"/>
    <mergeCell ref="F4:G4"/>
    <mergeCell ref="H4:I4"/>
    <mergeCell ref="M4:N4"/>
    <mergeCell ref="O4:P4"/>
    <mergeCell ref="Q4:R4"/>
    <mergeCell ref="S4:T4"/>
    <mergeCell ref="X4:Y4"/>
    <mergeCell ref="Z4:AA4"/>
    <mergeCell ref="AB4:AC4"/>
    <mergeCell ref="AD4:AE4"/>
    <mergeCell ref="AI4:AJ4"/>
    <mergeCell ref="AK4:AL4"/>
    <mergeCell ref="AM4:AN4"/>
    <mergeCell ref="AO4:AP4"/>
    <mergeCell ref="AU4:AV4"/>
    <mergeCell ref="AW4:AX4"/>
    <mergeCell ref="AY4:AZ4"/>
    <mergeCell ref="BA4:BB4"/>
    <mergeCell ref="BF4:BG4"/>
    <mergeCell ref="BH4:BI4"/>
    <mergeCell ref="BJ4:BK4"/>
    <mergeCell ref="BL4:BM4"/>
    <mergeCell ref="A4:A5"/>
    <mergeCell ref="L4:L5"/>
    <mergeCell ref="W4:W5"/>
    <mergeCell ref="AH4:AH5"/>
    <mergeCell ref="AT4:AT5"/>
    <mergeCell ref="BE4:BE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IMPRIME</vt:lpstr>
      <vt:lpstr>FEVRIER</vt:lpstr>
      <vt:lpstr>MARS</vt:lpstr>
      <vt:lpstr>AVRIL</vt:lpstr>
      <vt:lpstr>MAI</vt:lpstr>
      <vt:lpstr>JUIN</vt:lpstr>
      <vt:lpstr>JUILLET</vt:lpstr>
      <vt:lpstr>AOÛT</vt:lpstr>
      <vt:lpstr>SEPTEMBRE</vt:lpstr>
      <vt:lpstr>OCTOBRE</vt:lpstr>
      <vt:lpstr>NOVEMBRE</vt:lpstr>
      <vt:lpstr>Feuil3</vt:lpstr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Ahidjo_Ahmadou</cp:lastModifiedBy>
  <dcterms:created xsi:type="dcterms:W3CDTF">2006-09-12T15:06:00Z</dcterms:created>
  <dcterms:modified xsi:type="dcterms:W3CDTF">2021-11-22T15:56:52Z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ABA864B950704316A31494F59CBC47CA</vt:lpwstr>
  </property>
  <property fmtid="{D5CDD505-2E9C-101B-9397-08002B2CF9AE}" pid="3" name="KSOProductBuildVer">
    <vt:lpwstr>1036-11.2.0.10382</vt:lpwstr>
  </property>
</Properties>
</file>